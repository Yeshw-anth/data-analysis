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eshwanth\Downloads\"/>
    </mc:Choice>
  </mc:AlternateContent>
  <xr:revisionPtr revIDLastSave="0" documentId="13_ncr:1_{0937C0AF-0655-4C3D-BA20-AFD717077EB7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Pivot_Analysis" sheetId="3" r:id="rId1"/>
    <sheet name="Executive_Dashboard" sheetId="5" r:id="rId2"/>
    <sheet name="Raw_Data" sheetId="1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  <c r="F2" i="3"/>
  <c r="G4" i="3"/>
  <c r="G5" i="3"/>
  <c r="G6" i="3"/>
  <c r="G7" i="3"/>
  <c r="G8" i="3"/>
  <c r="G9" i="3"/>
  <c r="G3" i="3"/>
  <c r="F4" i="3"/>
  <c r="F5" i="3"/>
  <c r="F6" i="3"/>
  <c r="F7" i="3"/>
  <c r="F8" i="3"/>
  <c r="F9" i="3"/>
  <c r="F3" i="3"/>
  <c r="K436" i="1"/>
  <c r="K470" i="1"/>
  <c r="K442" i="1"/>
  <c r="K475" i="1"/>
  <c r="K425" i="1"/>
  <c r="K461" i="1"/>
  <c r="K419" i="1"/>
  <c r="K453" i="1"/>
  <c r="K454" i="1"/>
  <c r="K484" i="1"/>
  <c r="K448" i="1"/>
  <c r="K480" i="1"/>
  <c r="K431" i="1"/>
  <c r="K466" i="1"/>
  <c r="K437" i="1"/>
  <c r="K471" i="1"/>
  <c r="K443" i="1"/>
  <c r="K476" i="1"/>
  <c r="K426" i="1"/>
  <c r="K462" i="1"/>
  <c r="K420" i="1"/>
  <c r="K455" i="1"/>
  <c r="K456" i="1"/>
  <c r="K485" i="1"/>
  <c r="K449" i="1"/>
  <c r="K481" i="1"/>
  <c r="K432" i="1"/>
  <c r="K467" i="1"/>
  <c r="K438" i="1"/>
  <c r="K472" i="1"/>
  <c r="K444" i="1"/>
  <c r="K477" i="1"/>
  <c r="K427" i="1"/>
  <c r="K463" i="1"/>
  <c r="K421" i="1"/>
  <c r="K457" i="1"/>
  <c r="K458" i="1"/>
  <c r="K486" i="1"/>
  <c r="K450" i="1"/>
  <c r="K482" i="1"/>
  <c r="K433" i="1"/>
  <c r="K468" i="1"/>
  <c r="K439" i="1"/>
  <c r="K473" i="1"/>
  <c r="K445" i="1"/>
  <c r="K478" i="1"/>
  <c r="K428" i="1"/>
  <c r="K464" i="1"/>
  <c r="K422" i="1"/>
  <c r="K459" i="1"/>
  <c r="K460" i="1"/>
  <c r="K487" i="1"/>
  <c r="K451" i="1"/>
  <c r="K483" i="1"/>
  <c r="K434" i="1"/>
  <c r="K469" i="1"/>
  <c r="K440" i="1"/>
  <c r="K474" i="1"/>
  <c r="K446" i="1"/>
  <c r="K479" i="1"/>
  <c r="K429" i="1"/>
  <c r="K465" i="1"/>
  <c r="K416" i="1"/>
  <c r="K452" i="1"/>
  <c r="K414" i="1"/>
  <c r="K447" i="1"/>
  <c r="K412" i="1"/>
  <c r="K441" i="1"/>
  <c r="K410" i="1"/>
  <c r="K435" i="1"/>
  <c r="K408" i="1"/>
  <c r="K430" i="1"/>
  <c r="K406" i="1"/>
  <c r="K424" i="1"/>
  <c r="K404" i="1"/>
  <c r="K423" i="1"/>
  <c r="K402" i="1"/>
  <c r="K418" i="1"/>
  <c r="K400" i="1"/>
  <c r="K417" i="1"/>
  <c r="K398" i="1"/>
  <c r="K415" i="1"/>
  <c r="K396" i="1"/>
  <c r="K413" i="1"/>
  <c r="K394" i="1"/>
  <c r="K411" i="1"/>
  <c r="K392" i="1"/>
  <c r="K409" i="1"/>
  <c r="K390" i="1"/>
  <c r="K407" i="1"/>
  <c r="K387" i="1"/>
  <c r="K405" i="1"/>
  <c r="K385" i="1"/>
  <c r="K403" i="1"/>
  <c r="K381" i="1"/>
  <c r="K401" i="1"/>
  <c r="K378" i="1"/>
  <c r="K399" i="1"/>
  <c r="K374" i="1"/>
  <c r="K397" i="1"/>
  <c r="K371" i="1"/>
  <c r="K395" i="1"/>
  <c r="K367" i="1"/>
  <c r="K393" i="1"/>
  <c r="K364" i="1"/>
  <c r="K391" i="1"/>
  <c r="K359" i="1"/>
  <c r="K388" i="1"/>
  <c r="K356" i="1"/>
  <c r="K386" i="1"/>
  <c r="K350" i="1"/>
  <c r="K382" i="1"/>
  <c r="K346" i="1"/>
  <c r="K379" i="1"/>
  <c r="K338" i="1"/>
  <c r="K375" i="1"/>
  <c r="K334" i="1"/>
  <c r="K372" i="1"/>
  <c r="K325" i="1"/>
  <c r="K368" i="1"/>
  <c r="K321" i="1"/>
  <c r="K365" i="1"/>
  <c r="K313" i="1"/>
  <c r="K360" i="1"/>
  <c r="K309" i="1"/>
  <c r="K357" i="1"/>
  <c r="K300" i="1"/>
  <c r="K351" i="1"/>
  <c r="K295" i="1"/>
  <c r="K347" i="1"/>
  <c r="K285" i="1"/>
  <c r="K339" i="1"/>
  <c r="K280" i="1"/>
  <c r="K335" i="1"/>
  <c r="K271" i="1"/>
  <c r="K326" i="1"/>
  <c r="K266" i="1"/>
  <c r="K322" i="1"/>
  <c r="K259" i="1"/>
  <c r="K314" i="1"/>
  <c r="K254" i="1"/>
  <c r="K310" i="1"/>
  <c r="K247" i="1"/>
  <c r="K301" i="1"/>
  <c r="K241" i="1"/>
  <c r="K296" i="1"/>
  <c r="K232" i="1"/>
  <c r="K286" i="1"/>
  <c r="K225" i="1"/>
  <c r="K281" i="1"/>
  <c r="K217" i="1"/>
  <c r="K272" i="1"/>
  <c r="K210" i="1"/>
  <c r="K267" i="1"/>
  <c r="K202" i="1"/>
  <c r="K260" i="1"/>
  <c r="K196" i="1"/>
  <c r="K255" i="1"/>
  <c r="K189" i="1"/>
  <c r="K248" i="1"/>
  <c r="K183" i="1"/>
  <c r="K242" i="1"/>
  <c r="K175" i="1"/>
  <c r="K233" i="1"/>
  <c r="K169" i="1"/>
  <c r="K226" i="1"/>
  <c r="K159" i="1"/>
  <c r="K218" i="1"/>
  <c r="K152" i="1"/>
  <c r="K211" i="1"/>
  <c r="K142" i="1"/>
  <c r="K203" i="1"/>
  <c r="K136" i="1"/>
  <c r="K197" i="1"/>
  <c r="K129" i="1"/>
  <c r="K190" i="1"/>
  <c r="K124" i="1"/>
  <c r="K184" i="1"/>
  <c r="K117" i="1"/>
  <c r="K176" i="1"/>
  <c r="K104" i="1"/>
  <c r="K160" i="1"/>
  <c r="K94" i="1"/>
  <c r="K143" i="1"/>
  <c r="K86" i="1"/>
  <c r="K130" i="1"/>
  <c r="K79" i="1"/>
  <c r="K118" i="1"/>
  <c r="K45" i="1"/>
  <c r="K63" i="1"/>
  <c r="K23" i="1"/>
  <c r="K40" i="1"/>
  <c r="K13" i="1"/>
  <c r="K20" i="1"/>
  <c r="K9" i="1"/>
  <c r="K12" i="1"/>
  <c r="K8" i="1"/>
  <c r="K10" i="1"/>
  <c r="K4" i="1"/>
  <c r="K7" i="1"/>
  <c r="K3" i="1"/>
  <c r="K6" i="1"/>
  <c r="K2" i="1"/>
  <c r="K5" i="1"/>
  <c r="K11" i="1"/>
  <c r="K14" i="1"/>
  <c r="K24" i="1"/>
  <c r="K46" i="1"/>
  <c r="K68" i="1"/>
  <c r="K105" i="1"/>
  <c r="K106" i="1"/>
  <c r="K161" i="1"/>
  <c r="K177" i="1"/>
  <c r="K234" i="1"/>
  <c r="K204" i="1"/>
  <c r="K261" i="1"/>
  <c r="K219" i="1"/>
  <c r="K273" i="1"/>
  <c r="K235" i="1"/>
  <c r="K287" i="1"/>
  <c r="K249" i="1"/>
  <c r="K302" i="1"/>
  <c r="K262" i="1"/>
  <c r="K315" i="1"/>
  <c r="K274" i="1"/>
  <c r="K327" i="1"/>
  <c r="K288" i="1"/>
  <c r="K340" i="1"/>
  <c r="K303" i="1"/>
  <c r="K352" i="1"/>
  <c r="K316" i="1"/>
  <c r="K361" i="1"/>
  <c r="K328" i="1"/>
  <c r="K369" i="1"/>
  <c r="K341" i="1"/>
  <c r="K376" i="1"/>
  <c r="K353" i="1"/>
  <c r="K383" i="1"/>
  <c r="K362" i="1"/>
  <c r="K389" i="1"/>
  <c r="K354" i="1"/>
  <c r="K384" i="1"/>
  <c r="K348" i="1"/>
  <c r="K380" i="1"/>
  <c r="K342" i="1"/>
  <c r="K377" i="1"/>
  <c r="K336" i="1"/>
  <c r="K373" i="1"/>
  <c r="K329" i="1"/>
  <c r="K370" i="1"/>
  <c r="K323" i="1"/>
  <c r="K366" i="1"/>
  <c r="K317" i="1"/>
  <c r="K363" i="1"/>
  <c r="K311" i="1"/>
  <c r="K358" i="1"/>
  <c r="K304" i="1"/>
  <c r="K355" i="1"/>
  <c r="K297" i="1"/>
  <c r="K349" i="1"/>
  <c r="K289" i="1"/>
  <c r="K343" i="1"/>
  <c r="K282" i="1"/>
  <c r="K337" i="1"/>
  <c r="K275" i="1"/>
  <c r="K330" i="1"/>
  <c r="K268" i="1"/>
  <c r="K324" i="1"/>
  <c r="K263" i="1"/>
  <c r="K318" i="1"/>
  <c r="K256" i="1"/>
  <c r="K312" i="1"/>
  <c r="K250" i="1"/>
  <c r="K305" i="1"/>
  <c r="K243" i="1"/>
  <c r="K298" i="1"/>
  <c r="K236" i="1"/>
  <c r="K290" i="1"/>
  <c r="K227" i="1"/>
  <c r="K283" i="1"/>
  <c r="K220" i="1"/>
  <c r="K276" i="1"/>
  <c r="K212" i="1"/>
  <c r="K269" i="1"/>
  <c r="K205" i="1"/>
  <c r="K264" i="1"/>
  <c r="K198" i="1"/>
  <c r="K257" i="1"/>
  <c r="K191" i="1"/>
  <c r="K251" i="1"/>
  <c r="K185" i="1"/>
  <c r="K244" i="1"/>
  <c r="K178" i="1"/>
  <c r="K237" i="1"/>
  <c r="K170" i="1"/>
  <c r="K228" i="1"/>
  <c r="K162" i="1"/>
  <c r="K221" i="1"/>
  <c r="K153" i="1"/>
  <c r="K213" i="1"/>
  <c r="K144" i="1"/>
  <c r="K206" i="1"/>
  <c r="K179" i="1"/>
  <c r="K238" i="1"/>
  <c r="K171" i="1"/>
  <c r="K229" i="1"/>
  <c r="K163" i="1"/>
  <c r="K222" i="1"/>
  <c r="K154" i="1"/>
  <c r="K214" i="1"/>
  <c r="K145" i="1"/>
  <c r="K207" i="1"/>
  <c r="K137" i="1"/>
  <c r="K199" i="1"/>
  <c r="K131" i="1"/>
  <c r="K192" i="1"/>
  <c r="K125" i="1"/>
  <c r="K186" i="1"/>
  <c r="K119" i="1"/>
  <c r="K180" i="1"/>
  <c r="K113" i="1"/>
  <c r="K172" i="1"/>
  <c r="K107" i="1"/>
  <c r="K164" i="1"/>
  <c r="K100" i="1"/>
  <c r="K155" i="1"/>
  <c r="K95" i="1"/>
  <c r="K146" i="1"/>
  <c r="K90" i="1"/>
  <c r="K138" i="1"/>
  <c r="K291" i="1"/>
  <c r="K331" i="1"/>
  <c r="K306" i="1"/>
  <c r="K344" i="1"/>
  <c r="K277" i="1"/>
  <c r="K319" i="1"/>
  <c r="K292" i="1"/>
  <c r="K332" i="1"/>
  <c r="K307" i="1"/>
  <c r="K345" i="1"/>
  <c r="K278" i="1"/>
  <c r="K320" i="1"/>
  <c r="K293" i="1"/>
  <c r="K333" i="1"/>
  <c r="K108" i="1"/>
  <c r="K165" i="1"/>
  <c r="K101" i="1"/>
  <c r="K156" i="1"/>
  <c r="K96" i="1"/>
  <c r="K147" i="1"/>
  <c r="K91" i="1"/>
  <c r="K139" i="1"/>
  <c r="K87" i="1"/>
  <c r="K132" i="1"/>
  <c r="K83" i="1"/>
  <c r="K126" i="1"/>
  <c r="K80" i="1"/>
  <c r="K120" i="1"/>
  <c r="K76" i="1"/>
  <c r="K114" i="1"/>
  <c r="K73" i="1"/>
  <c r="K109" i="1"/>
  <c r="K252" i="1"/>
  <c r="K308" i="1"/>
  <c r="K245" i="1"/>
  <c r="K299" i="1"/>
  <c r="K239" i="1"/>
  <c r="K294" i="1"/>
  <c r="K230" i="1"/>
  <c r="K284" i="1"/>
  <c r="K223" i="1"/>
  <c r="K279" i="1"/>
  <c r="K215" i="1"/>
  <c r="K270" i="1"/>
  <c r="K208" i="1"/>
  <c r="K265" i="1"/>
  <c r="K200" i="1"/>
  <c r="K258" i="1"/>
  <c r="K193" i="1"/>
  <c r="K253" i="1"/>
  <c r="K187" i="1"/>
  <c r="K246" i="1"/>
  <c r="K181" i="1"/>
  <c r="K240" i="1"/>
  <c r="K173" i="1"/>
  <c r="K231" i="1"/>
  <c r="K166" i="1"/>
  <c r="K224" i="1"/>
  <c r="K157" i="1"/>
  <c r="K216" i="1"/>
  <c r="K148" i="1"/>
  <c r="K209" i="1"/>
  <c r="K140" i="1"/>
  <c r="K201" i="1"/>
  <c r="K133" i="1"/>
  <c r="K194" i="1"/>
  <c r="K127" i="1"/>
  <c r="K188" i="1"/>
  <c r="K121" i="1"/>
  <c r="K182" i="1"/>
  <c r="K115" i="1"/>
  <c r="K174" i="1"/>
  <c r="K110" i="1"/>
  <c r="K167" i="1"/>
  <c r="K102" i="1"/>
  <c r="K158" i="1"/>
  <c r="K97" i="1"/>
  <c r="K149" i="1"/>
  <c r="K92" i="1"/>
  <c r="K141" i="1"/>
  <c r="K88" i="1"/>
  <c r="K134" i="1"/>
  <c r="K84" i="1"/>
  <c r="K128" i="1"/>
  <c r="K81" i="1"/>
  <c r="K122" i="1"/>
  <c r="K77" i="1"/>
  <c r="K116" i="1"/>
  <c r="K74" i="1"/>
  <c r="K111" i="1"/>
  <c r="K71" i="1"/>
  <c r="K103" i="1"/>
  <c r="K69" i="1"/>
  <c r="K98" i="1"/>
  <c r="K66" i="1"/>
  <c r="K93" i="1"/>
  <c r="K64" i="1"/>
  <c r="K89" i="1"/>
  <c r="K61" i="1"/>
  <c r="K85" i="1"/>
  <c r="K59" i="1"/>
  <c r="K82" i="1"/>
  <c r="K57" i="1"/>
  <c r="K78" i="1"/>
  <c r="K55" i="1"/>
  <c r="K75" i="1"/>
  <c r="K53" i="1"/>
  <c r="K72" i="1"/>
  <c r="K51" i="1"/>
  <c r="K70" i="1"/>
  <c r="K49" i="1"/>
  <c r="K67" i="1"/>
  <c r="K47" i="1"/>
  <c r="K65" i="1"/>
  <c r="K43" i="1"/>
  <c r="K62" i="1"/>
  <c r="K41" i="1"/>
  <c r="K60" i="1"/>
  <c r="K38" i="1"/>
  <c r="K58" i="1"/>
  <c r="K36" i="1"/>
  <c r="K56" i="1"/>
  <c r="K34" i="1"/>
  <c r="K54" i="1"/>
  <c r="K32" i="1"/>
  <c r="K52" i="1"/>
  <c r="K30" i="1"/>
  <c r="K50" i="1"/>
  <c r="K28" i="1"/>
  <c r="K48" i="1"/>
  <c r="K26" i="1"/>
  <c r="K44" i="1"/>
  <c r="K25" i="1"/>
  <c r="K42" i="1"/>
  <c r="K22" i="1"/>
  <c r="K39" i="1"/>
  <c r="K21" i="1"/>
  <c r="K37" i="1"/>
  <c r="K19" i="1"/>
  <c r="K35" i="1"/>
  <c r="K18" i="1"/>
  <c r="K33" i="1"/>
  <c r="K17" i="1"/>
  <c r="K31" i="1"/>
  <c r="K16" i="1"/>
  <c r="K29" i="1"/>
  <c r="K15" i="1"/>
  <c r="K27" i="1"/>
  <c r="K150" i="1"/>
  <c r="K195" i="1"/>
  <c r="K123" i="1"/>
  <c r="K168" i="1"/>
  <c r="K112" i="1"/>
  <c r="K151" i="1"/>
  <c r="K99" i="1"/>
  <c r="K135" i="1"/>
  <c r="J135" i="1"/>
  <c r="J99" i="1"/>
  <c r="J151" i="1"/>
  <c r="J112" i="1"/>
  <c r="J168" i="1"/>
  <c r="J123" i="1"/>
  <c r="J195" i="1"/>
  <c r="J150" i="1"/>
  <c r="J27" i="1"/>
  <c r="J15" i="1"/>
  <c r="J29" i="1"/>
  <c r="J16" i="1"/>
  <c r="J31" i="1"/>
  <c r="J17" i="1"/>
  <c r="J33" i="1"/>
  <c r="J18" i="1"/>
  <c r="J35" i="1"/>
  <c r="J19" i="1"/>
  <c r="J37" i="1"/>
  <c r="J21" i="1"/>
  <c r="J39" i="1"/>
  <c r="J22" i="1"/>
  <c r="J42" i="1"/>
  <c r="J25" i="1"/>
  <c r="J44" i="1"/>
  <c r="J26" i="1"/>
  <c r="J48" i="1"/>
  <c r="J28" i="1"/>
  <c r="J50" i="1"/>
  <c r="J30" i="1"/>
  <c r="J52" i="1"/>
  <c r="J32" i="1"/>
  <c r="J54" i="1"/>
  <c r="J34" i="1"/>
  <c r="J56" i="1"/>
  <c r="J36" i="1"/>
  <c r="J58" i="1"/>
  <c r="J38" i="1"/>
  <c r="J60" i="1"/>
  <c r="J41" i="1"/>
  <c r="J62" i="1"/>
  <c r="J43" i="1"/>
  <c r="J65" i="1"/>
  <c r="J47" i="1"/>
  <c r="J67" i="1"/>
  <c r="J49" i="1"/>
  <c r="J70" i="1"/>
  <c r="J51" i="1"/>
  <c r="J72" i="1"/>
  <c r="J53" i="1"/>
  <c r="J75" i="1"/>
  <c r="J55" i="1"/>
  <c r="J78" i="1"/>
  <c r="J57" i="1"/>
  <c r="J82" i="1"/>
  <c r="J59" i="1"/>
  <c r="J85" i="1"/>
  <c r="J61" i="1"/>
  <c r="J89" i="1"/>
  <c r="J64" i="1"/>
  <c r="J93" i="1"/>
  <c r="J66" i="1"/>
  <c r="J98" i="1"/>
  <c r="J69" i="1"/>
  <c r="J103" i="1"/>
  <c r="J71" i="1"/>
  <c r="J111" i="1"/>
  <c r="J74" i="1"/>
  <c r="J116" i="1"/>
  <c r="J77" i="1"/>
  <c r="J122" i="1"/>
  <c r="J81" i="1"/>
  <c r="J128" i="1"/>
  <c r="J84" i="1"/>
  <c r="J134" i="1"/>
  <c r="J88" i="1"/>
  <c r="J141" i="1"/>
  <c r="J92" i="1"/>
  <c r="J149" i="1"/>
  <c r="J97" i="1"/>
  <c r="J158" i="1"/>
  <c r="J102" i="1"/>
  <c r="J167" i="1"/>
  <c r="J110" i="1"/>
  <c r="J174" i="1"/>
  <c r="J115" i="1"/>
  <c r="J182" i="1"/>
  <c r="J121" i="1"/>
  <c r="J188" i="1"/>
  <c r="J127" i="1"/>
  <c r="J194" i="1"/>
  <c r="J133" i="1"/>
  <c r="J201" i="1"/>
  <c r="J140" i="1"/>
  <c r="J209" i="1"/>
  <c r="J148" i="1"/>
  <c r="J216" i="1"/>
  <c r="J157" i="1"/>
  <c r="J224" i="1"/>
  <c r="J166" i="1"/>
  <c r="J231" i="1"/>
  <c r="J173" i="1"/>
  <c r="J240" i="1"/>
  <c r="J181" i="1"/>
  <c r="J246" i="1"/>
  <c r="J187" i="1"/>
  <c r="J253" i="1"/>
  <c r="J193" i="1"/>
  <c r="J258" i="1"/>
  <c r="J200" i="1"/>
  <c r="J265" i="1"/>
  <c r="J208" i="1"/>
  <c r="J270" i="1"/>
  <c r="J215" i="1"/>
  <c r="J279" i="1"/>
  <c r="J223" i="1"/>
  <c r="J284" i="1"/>
  <c r="J230" i="1"/>
  <c r="J294" i="1"/>
  <c r="J239" i="1"/>
  <c r="J299" i="1"/>
  <c r="J245" i="1"/>
  <c r="J308" i="1"/>
  <c r="J252" i="1"/>
  <c r="J109" i="1"/>
  <c r="J73" i="1"/>
  <c r="J114" i="1"/>
  <c r="J76" i="1"/>
  <c r="J120" i="1"/>
  <c r="J80" i="1"/>
  <c r="J126" i="1"/>
  <c r="J83" i="1"/>
  <c r="J132" i="1"/>
  <c r="J87" i="1"/>
  <c r="J139" i="1"/>
  <c r="J91" i="1"/>
  <c r="J147" i="1"/>
  <c r="J96" i="1"/>
  <c r="J156" i="1"/>
  <c r="J101" i="1"/>
  <c r="J165" i="1"/>
  <c r="J108" i="1"/>
  <c r="J333" i="1"/>
  <c r="J293" i="1"/>
  <c r="J320" i="1"/>
  <c r="J278" i="1"/>
  <c r="J345" i="1"/>
  <c r="J307" i="1"/>
  <c r="J332" i="1"/>
  <c r="J292" i="1"/>
  <c r="J319" i="1"/>
  <c r="J277" i="1"/>
  <c r="J344" i="1"/>
  <c r="J306" i="1"/>
  <c r="J331" i="1"/>
  <c r="J291" i="1"/>
  <c r="J138" i="1"/>
  <c r="J90" i="1"/>
  <c r="J146" i="1"/>
  <c r="J95" i="1"/>
  <c r="J155" i="1"/>
  <c r="J100" i="1"/>
  <c r="J164" i="1"/>
  <c r="J107" i="1"/>
  <c r="J172" i="1"/>
  <c r="J113" i="1"/>
  <c r="J180" i="1"/>
  <c r="J119" i="1"/>
  <c r="J186" i="1"/>
  <c r="J125" i="1"/>
  <c r="J192" i="1"/>
  <c r="J131" i="1"/>
  <c r="J199" i="1"/>
  <c r="J137" i="1"/>
  <c r="J207" i="1"/>
  <c r="J145" i="1"/>
  <c r="J214" i="1"/>
  <c r="J154" i="1"/>
  <c r="J222" i="1"/>
  <c r="J163" i="1"/>
  <c r="J229" i="1"/>
  <c r="J171" i="1"/>
  <c r="J238" i="1"/>
  <c r="J179" i="1"/>
  <c r="J206" i="1"/>
  <c r="J144" i="1"/>
  <c r="J213" i="1"/>
  <c r="J153" i="1"/>
  <c r="J221" i="1"/>
  <c r="J162" i="1"/>
  <c r="J228" i="1"/>
  <c r="J170" i="1"/>
  <c r="J237" i="1"/>
  <c r="J178" i="1"/>
  <c r="J244" i="1"/>
  <c r="J185" i="1"/>
  <c r="J251" i="1"/>
  <c r="J191" i="1"/>
  <c r="J257" i="1"/>
  <c r="J198" i="1"/>
  <c r="J264" i="1"/>
  <c r="J205" i="1"/>
  <c r="J269" i="1"/>
  <c r="J212" i="1"/>
  <c r="J276" i="1"/>
  <c r="J220" i="1"/>
  <c r="J283" i="1"/>
  <c r="J227" i="1"/>
  <c r="J290" i="1"/>
  <c r="J236" i="1"/>
  <c r="J298" i="1"/>
  <c r="J243" i="1"/>
  <c r="J305" i="1"/>
  <c r="J250" i="1"/>
  <c r="J312" i="1"/>
  <c r="J256" i="1"/>
  <c r="J318" i="1"/>
  <c r="J263" i="1"/>
  <c r="J324" i="1"/>
  <c r="J268" i="1"/>
  <c r="J330" i="1"/>
  <c r="J275" i="1"/>
  <c r="J337" i="1"/>
  <c r="J282" i="1"/>
  <c r="J343" i="1"/>
  <c r="J289" i="1"/>
  <c r="J349" i="1"/>
  <c r="J297" i="1"/>
  <c r="J355" i="1"/>
  <c r="J304" i="1"/>
  <c r="J358" i="1"/>
  <c r="J311" i="1"/>
  <c r="J363" i="1"/>
  <c r="J317" i="1"/>
  <c r="J366" i="1"/>
  <c r="J323" i="1"/>
  <c r="J370" i="1"/>
  <c r="J329" i="1"/>
  <c r="J373" i="1"/>
  <c r="J336" i="1"/>
  <c r="J377" i="1"/>
  <c r="J342" i="1"/>
  <c r="J380" i="1"/>
  <c r="J348" i="1"/>
  <c r="J384" i="1"/>
  <c r="J354" i="1"/>
  <c r="J389" i="1"/>
  <c r="J362" i="1"/>
  <c r="J383" i="1"/>
  <c r="J353" i="1"/>
  <c r="J376" i="1"/>
  <c r="J341" i="1"/>
  <c r="J369" i="1"/>
  <c r="J328" i="1"/>
  <c r="J361" i="1"/>
  <c r="J316" i="1"/>
  <c r="J352" i="1"/>
  <c r="J303" i="1"/>
  <c r="J340" i="1"/>
  <c r="J288" i="1"/>
  <c r="J327" i="1"/>
  <c r="J274" i="1"/>
  <c r="J315" i="1"/>
  <c r="J262" i="1"/>
  <c r="J302" i="1"/>
  <c r="J249" i="1"/>
  <c r="J287" i="1"/>
  <c r="J235" i="1"/>
  <c r="J273" i="1"/>
  <c r="J219" i="1"/>
  <c r="J261" i="1"/>
  <c r="J204" i="1"/>
  <c r="J234" i="1"/>
  <c r="J177" i="1"/>
  <c r="J161" i="1"/>
  <c r="J106" i="1"/>
  <c r="J105" i="1"/>
  <c r="J68" i="1"/>
  <c r="J46" i="1"/>
  <c r="J24" i="1"/>
  <c r="J14" i="1"/>
  <c r="J11" i="1"/>
  <c r="J5" i="1"/>
  <c r="J2" i="1"/>
  <c r="J6" i="1"/>
  <c r="J3" i="1"/>
  <c r="J7" i="1"/>
  <c r="J4" i="1"/>
  <c r="J10" i="1"/>
  <c r="J8" i="1"/>
  <c r="J12" i="1"/>
  <c r="J9" i="1"/>
  <c r="J20" i="1"/>
  <c r="J13" i="1"/>
  <c r="J40" i="1"/>
  <c r="J23" i="1"/>
  <c r="J63" i="1"/>
  <c r="J45" i="1"/>
  <c r="J118" i="1"/>
  <c r="J79" i="1"/>
  <c r="J130" i="1"/>
  <c r="J86" i="1"/>
  <c r="J143" i="1"/>
  <c r="J94" i="1"/>
  <c r="J160" i="1"/>
  <c r="J104" i="1"/>
  <c r="J176" i="1"/>
  <c r="J117" i="1"/>
  <c r="J184" i="1"/>
  <c r="J124" i="1"/>
  <c r="J190" i="1"/>
  <c r="J129" i="1"/>
  <c r="J197" i="1"/>
  <c r="J136" i="1"/>
  <c r="J203" i="1"/>
  <c r="J142" i="1"/>
  <c r="J211" i="1"/>
  <c r="J152" i="1"/>
  <c r="J218" i="1"/>
  <c r="J159" i="1"/>
  <c r="J226" i="1"/>
  <c r="J169" i="1"/>
  <c r="J233" i="1"/>
  <c r="J175" i="1"/>
  <c r="J242" i="1"/>
  <c r="J183" i="1"/>
  <c r="J248" i="1"/>
  <c r="J189" i="1"/>
  <c r="J255" i="1"/>
  <c r="J196" i="1"/>
  <c r="J260" i="1"/>
  <c r="J202" i="1"/>
  <c r="J267" i="1"/>
  <c r="J210" i="1"/>
  <c r="J272" i="1"/>
  <c r="J217" i="1"/>
  <c r="J281" i="1"/>
  <c r="J225" i="1"/>
  <c r="J286" i="1"/>
  <c r="J232" i="1"/>
  <c r="J296" i="1"/>
  <c r="J241" i="1"/>
  <c r="J301" i="1"/>
  <c r="J247" i="1"/>
  <c r="J310" i="1"/>
  <c r="J254" i="1"/>
  <c r="J314" i="1"/>
  <c r="J259" i="1"/>
  <c r="J322" i="1"/>
  <c r="J266" i="1"/>
  <c r="J326" i="1"/>
  <c r="J271" i="1"/>
  <c r="J335" i="1"/>
  <c r="J280" i="1"/>
  <c r="J339" i="1"/>
  <c r="J285" i="1"/>
  <c r="J347" i="1"/>
  <c r="J295" i="1"/>
  <c r="J351" i="1"/>
  <c r="J300" i="1"/>
  <c r="J357" i="1"/>
  <c r="J309" i="1"/>
  <c r="J360" i="1"/>
  <c r="J313" i="1"/>
  <c r="J365" i="1"/>
  <c r="J321" i="1"/>
  <c r="J368" i="1"/>
  <c r="J325" i="1"/>
  <c r="J372" i="1"/>
  <c r="J334" i="1"/>
  <c r="J375" i="1"/>
  <c r="J338" i="1"/>
  <c r="J379" i="1"/>
  <c r="J346" i="1"/>
  <c r="J382" i="1"/>
  <c r="J350" i="1"/>
  <c r="J386" i="1"/>
  <c r="J356" i="1"/>
  <c r="J388" i="1"/>
  <c r="J359" i="1"/>
  <c r="J391" i="1"/>
  <c r="J364" i="1"/>
  <c r="J393" i="1"/>
  <c r="J367" i="1"/>
  <c r="J395" i="1"/>
  <c r="J371" i="1"/>
  <c r="J397" i="1"/>
  <c r="J374" i="1"/>
  <c r="J399" i="1"/>
  <c r="J378" i="1"/>
  <c r="J401" i="1"/>
  <c r="J381" i="1"/>
  <c r="J403" i="1"/>
  <c r="J385" i="1"/>
  <c r="J405" i="1"/>
  <c r="J387" i="1"/>
  <c r="J407" i="1"/>
  <c r="J390" i="1"/>
  <c r="J409" i="1"/>
  <c r="J392" i="1"/>
  <c r="J411" i="1"/>
  <c r="J394" i="1"/>
  <c r="J413" i="1"/>
  <c r="J396" i="1"/>
  <c r="J415" i="1"/>
  <c r="J398" i="1"/>
  <c r="J417" i="1"/>
  <c r="J400" i="1"/>
  <c r="J418" i="1"/>
  <c r="J402" i="1"/>
  <c r="J423" i="1"/>
  <c r="J404" i="1"/>
  <c r="J424" i="1"/>
  <c r="J406" i="1"/>
  <c r="J430" i="1"/>
  <c r="J408" i="1"/>
  <c r="J435" i="1"/>
  <c r="J410" i="1"/>
  <c r="J441" i="1"/>
  <c r="J412" i="1"/>
  <c r="J447" i="1"/>
  <c r="J414" i="1"/>
  <c r="J452" i="1"/>
  <c r="J416" i="1"/>
  <c r="J465" i="1"/>
  <c r="J429" i="1"/>
  <c r="J479" i="1"/>
  <c r="J446" i="1"/>
  <c r="J474" i="1"/>
  <c r="J440" i="1"/>
  <c r="J469" i="1"/>
  <c r="J434" i="1"/>
  <c r="J483" i="1"/>
  <c r="J451" i="1"/>
  <c r="J487" i="1"/>
  <c r="J460" i="1"/>
  <c r="J459" i="1"/>
  <c r="J422" i="1"/>
  <c r="J464" i="1"/>
  <c r="J428" i="1"/>
  <c r="J478" i="1"/>
  <c r="J445" i="1"/>
  <c r="J473" i="1"/>
  <c r="J439" i="1"/>
  <c r="J468" i="1"/>
  <c r="J433" i="1"/>
  <c r="J482" i="1"/>
  <c r="J450" i="1"/>
  <c r="J486" i="1"/>
  <c r="J458" i="1"/>
  <c r="J457" i="1"/>
  <c r="J421" i="1"/>
  <c r="J463" i="1"/>
  <c r="J427" i="1"/>
  <c r="J477" i="1"/>
  <c r="J444" i="1"/>
  <c r="J472" i="1"/>
  <c r="J438" i="1"/>
  <c r="J467" i="1"/>
  <c r="J432" i="1"/>
  <c r="J481" i="1"/>
  <c r="J449" i="1"/>
  <c r="J485" i="1"/>
  <c r="J456" i="1"/>
  <c r="J455" i="1"/>
  <c r="J420" i="1"/>
  <c r="J462" i="1"/>
  <c r="J426" i="1"/>
  <c r="J476" i="1"/>
  <c r="J443" i="1"/>
  <c r="J471" i="1"/>
  <c r="J437" i="1"/>
  <c r="J466" i="1"/>
  <c r="J431" i="1"/>
  <c r="J480" i="1"/>
  <c r="J448" i="1"/>
  <c r="J484" i="1"/>
  <c r="J454" i="1"/>
  <c r="J453" i="1"/>
  <c r="J419" i="1"/>
  <c r="J461" i="1"/>
  <c r="J425" i="1"/>
  <c r="J475" i="1"/>
  <c r="J442" i="1"/>
  <c r="J470" i="1"/>
  <c r="J436" i="1"/>
  <c r="H470" i="1"/>
  <c r="I470" i="1" s="1"/>
  <c r="H436" i="1"/>
  <c r="I436" i="1" s="1"/>
  <c r="H442" i="1"/>
  <c r="I442" i="1" s="1"/>
  <c r="H475" i="1"/>
  <c r="I475" i="1" s="1"/>
  <c r="H425" i="1"/>
  <c r="I425" i="1" s="1"/>
  <c r="H461" i="1"/>
  <c r="I461" i="1" s="1"/>
  <c r="H419" i="1"/>
  <c r="I419" i="1" s="1"/>
  <c r="H453" i="1"/>
  <c r="I453" i="1" s="1"/>
  <c r="H454" i="1"/>
  <c r="I454" i="1" s="1"/>
  <c r="H484" i="1"/>
  <c r="I484" i="1" s="1"/>
  <c r="H448" i="1"/>
  <c r="I448" i="1" s="1"/>
  <c r="H480" i="1"/>
  <c r="I480" i="1" s="1"/>
  <c r="H431" i="1"/>
  <c r="I431" i="1" s="1"/>
  <c r="H466" i="1"/>
  <c r="I466" i="1" s="1"/>
  <c r="H437" i="1"/>
  <c r="I437" i="1" s="1"/>
  <c r="H471" i="1"/>
  <c r="I471" i="1" s="1"/>
  <c r="H443" i="1"/>
  <c r="I443" i="1" s="1"/>
  <c r="H476" i="1"/>
  <c r="I476" i="1" s="1"/>
  <c r="H426" i="1"/>
  <c r="I426" i="1" s="1"/>
  <c r="H462" i="1"/>
  <c r="I462" i="1" s="1"/>
  <c r="H420" i="1"/>
  <c r="I420" i="1" s="1"/>
  <c r="H455" i="1"/>
  <c r="I455" i="1" s="1"/>
  <c r="H456" i="1"/>
  <c r="I456" i="1" s="1"/>
  <c r="H485" i="1"/>
  <c r="I485" i="1" s="1"/>
  <c r="H449" i="1"/>
  <c r="I449" i="1" s="1"/>
  <c r="H481" i="1"/>
  <c r="I481" i="1" s="1"/>
  <c r="H432" i="1"/>
  <c r="I432" i="1" s="1"/>
  <c r="H467" i="1"/>
  <c r="I467" i="1" s="1"/>
  <c r="H438" i="1"/>
  <c r="I438" i="1" s="1"/>
  <c r="H472" i="1"/>
  <c r="I472" i="1" s="1"/>
  <c r="H444" i="1"/>
  <c r="I444" i="1" s="1"/>
  <c r="H477" i="1"/>
  <c r="I477" i="1" s="1"/>
  <c r="H427" i="1"/>
  <c r="I427" i="1" s="1"/>
  <c r="H463" i="1"/>
  <c r="I463" i="1" s="1"/>
  <c r="H421" i="1"/>
  <c r="I421" i="1" s="1"/>
  <c r="H457" i="1"/>
  <c r="I457" i="1" s="1"/>
  <c r="H458" i="1"/>
  <c r="I458" i="1" s="1"/>
  <c r="H486" i="1"/>
  <c r="I486" i="1" s="1"/>
  <c r="H450" i="1"/>
  <c r="I450" i="1" s="1"/>
  <c r="H482" i="1"/>
  <c r="I482" i="1" s="1"/>
  <c r="H433" i="1"/>
  <c r="I433" i="1" s="1"/>
  <c r="H468" i="1"/>
  <c r="I468" i="1" s="1"/>
  <c r="H439" i="1"/>
  <c r="I439" i="1" s="1"/>
  <c r="H473" i="1"/>
  <c r="I473" i="1" s="1"/>
  <c r="H445" i="1"/>
  <c r="I445" i="1" s="1"/>
  <c r="H478" i="1"/>
  <c r="I478" i="1" s="1"/>
  <c r="H428" i="1"/>
  <c r="I428" i="1" s="1"/>
  <c r="H464" i="1"/>
  <c r="I464" i="1" s="1"/>
  <c r="H422" i="1"/>
  <c r="I422" i="1" s="1"/>
  <c r="H459" i="1"/>
  <c r="I459" i="1" s="1"/>
  <c r="H460" i="1"/>
  <c r="I460" i="1" s="1"/>
  <c r="H487" i="1"/>
  <c r="I487" i="1" s="1"/>
  <c r="H451" i="1"/>
  <c r="I451" i="1" s="1"/>
  <c r="H483" i="1"/>
  <c r="I483" i="1" s="1"/>
  <c r="H434" i="1"/>
  <c r="I434" i="1" s="1"/>
  <c r="H469" i="1"/>
  <c r="I469" i="1" s="1"/>
  <c r="H440" i="1"/>
  <c r="I440" i="1" s="1"/>
  <c r="H474" i="1"/>
  <c r="I474" i="1" s="1"/>
  <c r="H446" i="1"/>
  <c r="I446" i="1" s="1"/>
  <c r="H479" i="1"/>
  <c r="I479" i="1" s="1"/>
  <c r="H429" i="1"/>
  <c r="I429" i="1" s="1"/>
  <c r="H465" i="1"/>
  <c r="I465" i="1" s="1"/>
  <c r="H416" i="1"/>
  <c r="I416" i="1" s="1"/>
  <c r="H452" i="1"/>
  <c r="I452" i="1" s="1"/>
  <c r="H414" i="1"/>
  <c r="I414" i="1" s="1"/>
  <c r="H447" i="1"/>
  <c r="I447" i="1" s="1"/>
  <c r="H412" i="1"/>
  <c r="I412" i="1" s="1"/>
  <c r="H441" i="1"/>
  <c r="I441" i="1" s="1"/>
  <c r="H410" i="1"/>
  <c r="I410" i="1" s="1"/>
  <c r="H435" i="1"/>
  <c r="I435" i="1" s="1"/>
  <c r="H408" i="1"/>
  <c r="I408" i="1" s="1"/>
  <c r="H430" i="1"/>
  <c r="I430" i="1" s="1"/>
  <c r="H406" i="1"/>
  <c r="I406" i="1" s="1"/>
  <c r="H424" i="1"/>
  <c r="I424" i="1" s="1"/>
  <c r="H404" i="1"/>
  <c r="I404" i="1" s="1"/>
  <c r="H423" i="1"/>
  <c r="I423" i="1" s="1"/>
  <c r="H402" i="1"/>
  <c r="I402" i="1" s="1"/>
  <c r="H418" i="1"/>
  <c r="I418" i="1" s="1"/>
  <c r="H400" i="1"/>
  <c r="I400" i="1" s="1"/>
  <c r="H417" i="1"/>
  <c r="I417" i="1" s="1"/>
  <c r="H398" i="1"/>
  <c r="I398" i="1" s="1"/>
  <c r="H415" i="1"/>
  <c r="I415" i="1" s="1"/>
  <c r="H396" i="1"/>
  <c r="I396" i="1" s="1"/>
  <c r="H413" i="1"/>
  <c r="I413" i="1" s="1"/>
  <c r="H394" i="1"/>
  <c r="I394" i="1" s="1"/>
  <c r="H411" i="1"/>
  <c r="I411" i="1" s="1"/>
  <c r="H392" i="1"/>
  <c r="I392" i="1" s="1"/>
  <c r="H409" i="1"/>
  <c r="I409" i="1" s="1"/>
  <c r="H390" i="1"/>
  <c r="I390" i="1" s="1"/>
  <c r="H407" i="1"/>
  <c r="I407" i="1" s="1"/>
  <c r="H387" i="1"/>
  <c r="I387" i="1" s="1"/>
  <c r="H405" i="1"/>
  <c r="I405" i="1" s="1"/>
  <c r="H385" i="1"/>
  <c r="I385" i="1" s="1"/>
  <c r="H403" i="1"/>
  <c r="I403" i="1" s="1"/>
  <c r="H381" i="1"/>
  <c r="I381" i="1" s="1"/>
  <c r="H401" i="1"/>
  <c r="I401" i="1" s="1"/>
  <c r="H378" i="1"/>
  <c r="I378" i="1" s="1"/>
  <c r="H399" i="1"/>
  <c r="I399" i="1" s="1"/>
  <c r="H374" i="1"/>
  <c r="I374" i="1" s="1"/>
  <c r="H397" i="1"/>
  <c r="I397" i="1" s="1"/>
  <c r="H371" i="1"/>
  <c r="I371" i="1" s="1"/>
  <c r="H395" i="1"/>
  <c r="I395" i="1" s="1"/>
  <c r="H367" i="1"/>
  <c r="I367" i="1" s="1"/>
  <c r="H393" i="1"/>
  <c r="I393" i="1" s="1"/>
  <c r="H364" i="1"/>
  <c r="I364" i="1" s="1"/>
  <c r="H391" i="1"/>
  <c r="I391" i="1" s="1"/>
  <c r="H359" i="1"/>
  <c r="I359" i="1" s="1"/>
  <c r="H388" i="1"/>
  <c r="I388" i="1" s="1"/>
  <c r="H356" i="1"/>
  <c r="I356" i="1" s="1"/>
  <c r="H386" i="1"/>
  <c r="I386" i="1" s="1"/>
  <c r="H350" i="1"/>
  <c r="I350" i="1" s="1"/>
  <c r="H382" i="1"/>
  <c r="I382" i="1" s="1"/>
  <c r="H346" i="1"/>
  <c r="I346" i="1" s="1"/>
  <c r="H379" i="1"/>
  <c r="I379" i="1" s="1"/>
  <c r="H338" i="1"/>
  <c r="I338" i="1" s="1"/>
  <c r="H375" i="1"/>
  <c r="I375" i="1" s="1"/>
  <c r="H334" i="1"/>
  <c r="I334" i="1" s="1"/>
  <c r="H372" i="1"/>
  <c r="I372" i="1" s="1"/>
  <c r="H325" i="1"/>
  <c r="I325" i="1" s="1"/>
  <c r="H368" i="1"/>
  <c r="I368" i="1" s="1"/>
  <c r="H321" i="1"/>
  <c r="I321" i="1" s="1"/>
  <c r="H365" i="1"/>
  <c r="I365" i="1" s="1"/>
  <c r="H313" i="1"/>
  <c r="I313" i="1" s="1"/>
  <c r="H360" i="1"/>
  <c r="I360" i="1" s="1"/>
  <c r="H309" i="1"/>
  <c r="I309" i="1" s="1"/>
  <c r="H357" i="1"/>
  <c r="I357" i="1" s="1"/>
  <c r="H300" i="1"/>
  <c r="I300" i="1" s="1"/>
  <c r="H351" i="1"/>
  <c r="I351" i="1" s="1"/>
  <c r="H295" i="1"/>
  <c r="I295" i="1" s="1"/>
  <c r="H347" i="1"/>
  <c r="I347" i="1" s="1"/>
  <c r="H285" i="1"/>
  <c r="I285" i="1" s="1"/>
  <c r="H339" i="1"/>
  <c r="I339" i="1" s="1"/>
  <c r="H280" i="1"/>
  <c r="I280" i="1" s="1"/>
  <c r="H335" i="1"/>
  <c r="I335" i="1" s="1"/>
  <c r="H271" i="1"/>
  <c r="I271" i="1" s="1"/>
  <c r="H326" i="1"/>
  <c r="I326" i="1" s="1"/>
  <c r="H266" i="1"/>
  <c r="I266" i="1" s="1"/>
  <c r="H322" i="1"/>
  <c r="I322" i="1" s="1"/>
  <c r="H259" i="1"/>
  <c r="I259" i="1" s="1"/>
  <c r="H314" i="1"/>
  <c r="I314" i="1" s="1"/>
  <c r="H254" i="1"/>
  <c r="I254" i="1" s="1"/>
  <c r="H310" i="1"/>
  <c r="I310" i="1" s="1"/>
  <c r="H247" i="1"/>
  <c r="I247" i="1" s="1"/>
  <c r="H301" i="1"/>
  <c r="I301" i="1" s="1"/>
  <c r="H241" i="1"/>
  <c r="I241" i="1" s="1"/>
  <c r="H296" i="1"/>
  <c r="I296" i="1" s="1"/>
  <c r="H232" i="1"/>
  <c r="I232" i="1" s="1"/>
  <c r="H286" i="1"/>
  <c r="I286" i="1" s="1"/>
  <c r="H225" i="1"/>
  <c r="I225" i="1" s="1"/>
  <c r="H281" i="1"/>
  <c r="I281" i="1" s="1"/>
  <c r="H217" i="1"/>
  <c r="I217" i="1" s="1"/>
  <c r="H272" i="1"/>
  <c r="I272" i="1" s="1"/>
  <c r="H210" i="1"/>
  <c r="I210" i="1" s="1"/>
  <c r="H267" i="1"/>
  <c r="I267" i="1" s="1"/>
  <c r="H202" i="1"/>
  <c r="I202" i="1" s="1"/>
  <c r="H260" i="1"/>
  <c r="I260" i="1" s="1"/>
  <c r="H196" i="1"/>
  <c r="I196" i="1" s="1"/>
  <c r="H255" i="1"/>
  <c r="I255" i="1" s="1"/>
  <c r="H189" i="1"/>
  <c r="I189" i="1" s="1"/>
  <c r="H248" i="1"/>
  <c r="I248" i="1" s="1"/>
  <c r="H183" i="1"/>
  <c r="I183" i="1" s="1"/>
  <c r="H242" i="1"/>
  <c r="I242" i="1" s="1"/>
  <c r="H175" i="1"/>
  <c r="I175" i="1" s="1"/>
  <c r="H233" i="1"/>
  <c r="I233" i="1" s="1"/>
  <c r="H169" i="1"/>
  <c r="I169" i="1" s="1"/>
  <c r="H226" i="1"/>
  <c r="I226" i="1" s="1"/>
  <c r="H159" i="1"/>
  <c r="I159" i="1" s="1"/>
  <c r="H218" i="1"/>
  <c r="I218" i="1" s="1"/>
  <c r="H152" i="1"/>
  <c r="I152" i="1" s="1"/>
  <c r="H211" i="1"/>
  <c r="I211" i="1" s="1"/>
  <c r="H142" i="1"/>
  <c r="I142" i="1" s="1"/>
  <c r="H203" i="1"/>
  <c r="I203" i="1" s="1"/>
  <c r="H136" i="1"/>
  <c r="I136" i="1" s="1"/>
  <c r="H197" i="1"/>
  <c r="I197" i="1" s="1"/>
  <c r="H129" i="1"/>
  <c r="I129" i="1" s="1"/>
  <c r="H190" i="1"/>
  <c r="I190" i="1" s="1"/>
  <c r="H124" i="1"/>
  <c r="I124" i="1" s="1"/>
  <c r="H184" i="1"/>
  <c r="I184" i="1" s="1"/>
  <c r="H117" i="1"/>
  <c r="I117" i="1" s="1"/>
  <c r="H176" i="1"/>
  <c r="I176" i="1" s="1"/>
  <c r="H104" i="1"/>
  <c r="I104" i="1" s="1"/>
  <c r="H160" i="1"/>
  <c r="I160" i="1" s="1"/>
  <c r="H94" i="1"/>
  <c r="I94" i="1" s="1"/>
  <c r="H143" i="1"/>
  <c r="I143" i="1" s="1"/>
  <c r="H86" i="1"/>
  <c r="I86" i="1" s="1"/>
  <c r="H130" i="1"/>
  <c r="I130" i="1" s="1"/>
  <c r="H79" i="1"/>
  <c r="I79" i="1" s="1"/>
  <c r="H118" i="1"/>
  <c r="I118" i="1" s="1"/>
  <c r="H45" i="1"/>
  <c r="I45" i="1" s="1"/>
  <c r="H63" i="1"/>
  <c r="I63" i="1" s="1"/>
  <c r="H23" i="1"/>
  <c r="I23" i="1" s="1"/>
  <c r="H40" i="1"/>
  <c r="I40" i="1" s="1"/>
  <c r="H13" i="1"/>
  <c r="I13" i="1" s="1"/>
  <c r="H20" i="1"/>
  <c r="I20" i="1" s="1"/>
  <c r="H9" i="1"/>
  <c r="I9" i="1" s="1"/>
  <c r="H12" i="1"/>
  <c r="I12" i="1" s="1"/>
  <c r="H8" i="1"/>
  <c r="I8" i="1" s="1"/>
  <c r="H10" i="1"/>
  <c r="I10" i="1" s="1"/>
  <c r="H4" i="1"/>
  <c r="I4" i="1" s="1"/>
  <c r="H7" i="1"/>
  <c r="I7" i="1" s="1"/>
  <c r="H3" i="1"/>
  <c r="I3" i="1" s="1"/>
  <c r="H6" i="1"/>
  <c r="I6" i="1" s="1"/>
  <c r="H2" i="1"/>
  <c r="I2" i="1" s="1"/>
  <c r="H5" i="1"/>
  <c r="I5" i="1" s="1"/>
  <c r="H11" i="1"/>
  <c r="I11" i="1" s="1"/>
  <c r="H14" i="1"/>
  <c r="I14" i="1" s="1"/>
  <c r="H24" i="1"/>
  <c r="I24" i="1" s="1"/>
  <c r="H46" i="1"/>
  <c r="I46" i="1" s="1"/>
  <c r="H68" i="1"/>
  <c r="I68" i="1" s="1"/>
  <c r="H105" i="1"/>
  <c r="I105" i="1" s="1"/>
  <c r="H106" i="1"/>
  <c r="I106" i="1" s="1"/>
  <c r="H161" i="1"/>
  <c r="I161" i="1" s="1"/>
  <c r="H177" i="1"/>
  <c r="I177" i="1" s="1"/>
  <c r="H234" i="1"/>
  <c r="I234" i="1" s="1"/>
  <c r="H204" i="1"/>
  <c r="I204" i="1" s="1"/>
  <c r="H261" i="1"/>
  <c r="I261" i="1" s="1"/>
  <c r="H219" i="1"/>
  <c r="I219" i="1" s="1"/>
  <c r="H273" i="1"/>
  <c r="I273" i="1" s="1"/>
  <c r="H235" i="1"/>
  <c r="I235" i="1" s="1"/>
  <c r="H287" i="1"/>
  <c r="I287" i="1" s="1"/>
  <c r="H249" i="1"/>
  <c r="I249" i="1" s="1"/>
  <c r="H302" i="1"/>
  <c r="I302" i="1" s="1"/>
  <c r="H262" i="1"/>
  <c r="I262" i="1" s="1"/>
  <c r="H315" i="1"/>
  <c r="I315" i="1" s="1"/>
  <c r="H274" i="1"/>
  <c r="I274" i="1" s="1"/>
  <c r="H327" i="1"/>
  <c r="I327" i="1" s="1"/>
  <c r="H288" i="1"/>
  <c r="I288" i="1" s="1"/>
  <c r="H340" i="1"/>
  <c r="I340" i="1" s="1"/>
  <c r="H303" i="1"/>
  <c r="I303" i="1" s="1"/>
  <c r="H352" i="1"/>
  <c r="I352" i="1" s="1"/>
  <c r="H316" i="1"/>
  <c r="I316" i="1" s="1"/>
  <c r="H361" i="1"/>
  <c r="I361" i="1" s="1"/>
  <c r="H328" i="1"/>
  <c r="I328" i="1" s="1"/>
  <c r="H369" i="1"/>
  <c r="I369" i="1" s="1"/>
  <c r="H341" i="1"/>
  <c r="I341" i="1" s="1"/>
  <c r="H376" i="1"/>
  <c r="I376" i="1" s="1"/>
  <c r="H353" i="1"/>
  <c r="I353" i="1" s="1"/>
  <c r="H383" i="1"/>
  <c r="I383" i="1" s="1"/>
  <c r="H362" i="1"/>
  <c r="I362" i="1" s="1"/>
  <c r="H389" i="1"/>
  <c r="I389" i="1" s="1"/>
  <c r="H354" i="1"/>
  <c r="I354" i="1" s="1"/>
  <c r="H384" i="1"/>
  <c r="I384" i="1" s="1"/>
  <c r="H348" i="1"/>
  <c r="I348" i="1" s="1"/>
  <c r="H380" i="1"/>
  <c r="I380" i="1" s="1"/>
  <c r="H342" i="1"/>
  <c r="I342" i="1" s="1"/>
  <c r="H377" i="1"/>
  <c r="I377" i="1" s="1"/>
  <c r="H336" i="1"/>
  <c r="I336" i="1" s="1"/>
  <c r="H373" i="1"/>
  <c r="I373" i="1" s="1"/>
  <c r="H329" i="1"/>
  <c r="I329" i="1" s="1"/>
  <c r="H370" i="1"/>
  <c r="I370" i="1" s="1"/>
  <c r="H323" i="1"/>
  <c r="I323" i="1" s="1"/>
  <c r="H366" i="1"/>
  <c r="I366" i="1" s="1"/>
  <c r="H317" i="1"/>
  <c r="I317" i="1" s="1"/>
  <c r="H363" i="1"/>
  <c r="I363" i="1" s="1"/>
  <c r="H311" i="1"/>
  <c r="I311" i="1" s="1"/>
  <c r="H358" i="1"/>
  <c r="I358" i="1" s="1"/>
  <c r="H304" i="1"/>
  <c r="I304" i="1" s="1"/>
  <c r="H355" i="1"/>
  <c r="I355" i="1" s="1"/>
  <c r="H297" i="1"/>
  <c r="I297" i="1" s="1"/>
  <c r="H349" i="1"/>
  <c r="I349" i="1" s="1"/>
  <c r="H289" i="1"/>
  <c r="I289" i="1" s="1"/>
  <c r="H343" i="1"/>
  <c r="I343" i="1" s="1"/>
  <c r="H282" i="1"/>
  <c r="I282" i="1" s="1"/>
  <c r="H337" i="1"/>
  <c r="I337" i="1" s="1"/>
  <c r="H275" i="1"/>
  <c r="I275" i="1" s="1"/>
  <c r="H330" i="1"/>
  <c r="I330" i="1" s="1"/>
  <c r="H268" i="1"/>
  <c r="I268" i="1" s="1"/>
  <c r="H324" i="1"/>
  <c r="I324" i="1" s="1"/>
  <c r="H263" i="1"/>
  <c r="I263" i="1" s="1"/>
  <c r="H318" i="1"/>
  <c r="I318" i="1" s="1"/>
  <c r="H256" i="1"/>
  <c r="I256" i="1" s="1"/>
  <c r="H312" i="1"/>
  <c r="I312" i="1" s="1"/>
  <c r="H250" i="1"/>
  <c r="I250" i="1" s="1"/>
  <c r="H305" i="1"/>
  <c r="I305" i="1" s="1"/>
  <c r="H243" i="1"/>
  <c r="I243" i="1" s="1"/>
  <c r="H298" i="1"/>
  <c r="I298" i="1" s="1"/>
  <c r="H236" i="1"/>
  <c r="I236" i="1" s="1"/>
  <c r="H290" i="1"/>
  <c r="I290" i="1" s="1"/>
  <c r="H227" i="1"/>
  <c r="I227" i="1" s="1"/>
  <c r="H283" i="1"/>
  <c r="I283" i="1" s="1"/>
  <c r="H220" i="1"/>
  <c r="I220" i="1" s="1"/>
  <c r="H276" i="1"/>
  <c r="I276" i="1" s="1"/>
  <c r="H212" i="1"/>
  <c r="I212" i="1" s="1"/>
  <c r="H269" i="1"/>
  <c r="I269" i="1" s="1"/>
  <c r="H205" i="1"/>
  <c r="I205" i="1" s="1"/>
  <c r="H264" i="1"/>
  <c r="I264" i="1" s="1"/>
  <c r="H198" i="1"/>
  <c r="I198" i="1" s="1"/>
  <c r="H257" i="1"/>
  <c r="I257" i="1" s="1"/>
  <c r="H191" i="1"/>
  <c r="I191" i="1" s="1"/>
  <c r="H251" i="1"/>
  <c r="I251" i="1" s="1"/>
  <c r="H185" i="1"/>
  <c r="I185" i="1" s="1"/>
  <c r="H244" i="1"/>
  <c r="I244" i="1" s="1"/>
  <c r="H178" i="1"/>
  <c r="I178" i="1" s="1"/>
  <c r="H237" i="1"/>
  <c r="I237" i="1" s="1"/>
  <c r="H170" i="1"/>
  <c r="I170" i="1" s="1"/>
  <c r="H228" i="1"/>
  <c r="I228" i="1" s="1"/>
  <c r="H162" i="1"/>
  <c r="I162" i="1" s="1"/>
  <c r="H221" i="1"/>
  <c r="I221" i="1" s="1"/>
  <c r="H153" i="1"/>
  <c r="I153" i="1" s="1"/>
  <c r="H213" i="1"/>
  <c r="I213" i="1" s="1"/>
  <c r="H144" i="1"/>
  <c r="I144" i="1" s="1"/>
  <c r="H206" i="1"/>
  <c r="I206" i="1" s="1"/>
  <c r="H179" i="1"/>
  <c r="I179" i="1" s="1"/>
  <c r="H238" i="1"/>
  <c r="I238" i="1" s="1"/>
  <c r="H171" i="1"/>
  <c r="I171" i="1" s="1"/>
  <c r="H229" i="1"/>
  <c r="I229" i="1" s="1"/>
  <c r="H163" i="1"/>
  <c r="I163" i="1" s="1"/>
  <c r="H222" i="1"/>
  <c r="I222" i="1" s="1"/>
  <c r="H154" i="1"/>
  <c r="I154" i="1" s="1"/>
  <c r="H214" i="1"/>
  <c r="I214" i="1" s="1"/>
  <c r="H145" i="1"/>
  <c r="I145" i="1" s="1"/>
  <c r="H207" i="1"/>
  <c r="I207" i="1" s="1"/>
  <c r="H137" i="1"/>
  <c r="I137" i="1" s="1"/>
  <c r="H199" i="1"/>
  <c r="I199" i="1" s="1"/>
  <c r="H131" i="1"/>
  <c r="I131" i="1" s="1"/>
  <c r="H192" i="1"/>
  <c r="I192" i="1" s="1"/>
  <c r="H125" i="1"/>
  <c r="I125" i="1" s="1"/>
  <c r="H186" i="1"/>
  <c r="I186" i="1" s="1"/>
  <c r="H119" i="1"/>
  <c r="I119" i="1" s="1"/>
  <c r="H180" i="1"/>
  <c r="I180" i="1" s="1"/>
  <c r="H113" i="1"/>
  <c r="I113" i="1" s="1"/>
  <c r="H172" i="1"/>
  <c r="I172" i="1" s="1"/>
  <c r="H107" i="1"/>
  <c r="I107" i="1" s="1"/>
  <c r="H164" i="1"/>
  <c r="I164" i="1" s="1"/>
  <c r="H100" i="1"/>
  <c r="I100" i="1" s="1"/>
  <c r="H155" i="1"/>
  <c r="I155" i="1" s="1"/>
  <c r="H95" i="1"/>
  <c r="I95" i="1" s="1"/>
  <c r="H146" i="1"/>
  <c r="I146" i="1" s="1"/>
  <c r="H90" i="1"/>
  <c r="I90" i="1" s="1"/>
  <c r="H138" i="1"/>
  <c r="I138" i="1" s="1"/>
  <c r="H291" i="1"/>
  <c r="I291" i="1" s="1"/>
  <c r="H331" i="1"/>
  <c r="I331" i="1" s="1"/>
  <c r="H306" i="1"/>
  <c r="I306" i="1" s="1"/>
  <c r="H344" i="1"/>
  <c r="I344" i="1" s="1"/>
  <c r="H277" i="1"/>
  <c r="I277" i="1" s="1"/>
  <c r="H319" i="1"/>
  <c r="I319" i="1" s="1"/>
  <c r="H292" i="1"/>
  <c r="I292" i="1" s="1"/>
  <c r="H332" i="1"/>
  <c r="I332" i="1" s="1"/>
  <c r="H307" i="1"/>
  <c r="I307" i="1" s="1"/>
  <c r="H345" i="1"/>
  <c r="I345" i="1" s="1"/>
  <c r="H278" i="1"/>
  <c r="I278" i="1" s="1"/>
  <c r="H320" i="1"/>
  <c r="I320" i="1" s="1"/>
  <c r="H293" i="1"/>
  <c r="I293" i="1" s="1"/>
  <c r="H333" i="1"/>
  <c r="I333" i="1" s="1"/>
  <c r="H108" i="1"/>
  <c r="I108" i="1" s="1"/>
  <c r="H165" i="1"/>
  <c r="I165" i="1" s="1"/>
  <c r="H101" i="1"/>
  <c r="I101" i="1" s="1"/>
  <c r="H156" i="1"/>
  <c r="I156" i="1" s="1"/>
  <c r="H96" i="1"/>
  <c r="I96" i="1" s="1"/>
  <c r="H147" i="1"/>
  <c r="I147" i="1" s="1"/>
  <c r="H91" i="1"/>
  <c r="I91" i="1" s="1"/>
  <c r="H139" i="1"/>
  <c r="I139" i="1" s="1"/>
  <c r="H87" i="1"/>
  <c r="I87" i="1" s="1"/>
  <c r="H132" i="1"/>
  <c r="I132" i="1" s="1"/>
  <c r="H83" i="1"/>
  <c r="I83" i="1" s="1"/>
  <c r="H126" i="1"/>
  <c r="I126" i="1" s="1"/>
  <c r="H80" i="1"/>
  <c r="I80" i="1" s="1"/>
  <c r="H120" i="1"/>
  <c r="I120" i="1" s="1"/>
  <c r="H76" i="1"/>
  <c r="I76" i="1" s="1"/>
  <c r="H114" i="1"/>
  <c r="I114" i="1" s="1"/>
  <c r="H73" i="1"/>
  <c r="I73" i="1" s="1"/>
  <c r="H109" i="1"/>
  <c r="I109" i="1" s="1"/>
  <c r="H252" i="1"/>
  <c r="I252" i="1" s="1"/>
  <c r="H308" i="1"/>
  <c r="I308" i="1" s="1"/>
  <c r="H245" i="1"/>
  <c r="I245" i="1" s="1"/>
  <c r="H299" i="1"/>
  <c r="I299" i="1" s="1"/>
  <c r="H239" i="1"/>
  <c r="I239" i="1" s="1"/>
  <c r="H294" i="1"/>
  <c r="I294" i="1" s="1"/>
  <c r="H230" i="1"/>
  <c r="I230" i="1" s="1"/>
  <c r="H284" i="1"/>
  <c r="I284" i="1" s="1"/>
  <c r="H223" i="1"/>
  <c r="I223" i="1" s="1"/>
  <c r="H279" i="1"/>
  <c r="I279" i="1" s="1"/>
  <c r="H215" i="1"/>
  <c r="I215" i="1" s="1"/>
  <c r="H270" i="1"/>
  <c r="I270" i="1" s="1"/>
  <c r="H208" i="1"/>
  <c r="I208" i="1" s="1"/>
  <c r="H265" i="1"/>
  <c r="I265" i="1" s="1"/>
  <c r="H200" i="1"/>
  <c r="I200" i="1" s="1"/>
  <c r="H258" i="1"/>
  <c r="I258" i="1" s="1"/>
  <c r="H193" i="1"/>
  <c r="I193" i="1" s="1"/>
  <c r="H253" i="1"/>
  <c r="I253" i="1" s="1"/>
  <c r="H187" i="1"/>
  <c r="I187" i="1" s="1"/>
  <c r="H246" i="1"/>
  <c r="I246" i="1" s="1"/>
  <c r="H181" i="1"/>
  <c r="I181" i="1" s="1"/>
  <c r="H240" i="1"/>
  <c r="I240" i="1" s="1"/>
  <c r="H173" i="1"/>
  <c r="I173" i="1" s="1"/>
  <c r="H231" i="1"/>
  <c r="I231" i="1" s="1"/>
  <c r="H166" i="1"/>
  <c r="I166" i="1" s="1"/>
  <c r="H224" i="1"/>
  <c r="I224" i="1" s="1"/>
  <c r="H157" i="1"/>
  <c r="I157" i="1" s="1"/>
  <c r="H216" i="1"/>
  <c r="I216" i="1" s="1"/>
  <c r="H148" i="1"/>
  <c r="I148" i="1" s="1"/>
  <c r="H209" i="1"/>
  <c r="I209" i="1" s="1"/>
  <c r="H140" i="1"/>
  <c r="I140" i="1" s="1"/>
  <c r="H201" i="1"/>
  <c r="I201" i="1" s="1"/>
  <c r="H133" i="1"/>
  <c r="I133" i="1" s="1"/>
  <c r="H194" i="1"/>
  <c r="I194" i="1" s="1"/>
  <c r="H127" i="1"/>
  <c r="I127" i="1" s="1"/>
  <c r="H188" i="1"/>
  <c r="I188" i="1" s="1"/>
  <c r="H121" i="1"/>
  <c r="I121" i="1" s="1"/>
  <c r="H182" i="1"/>
  <c r="I182" i="1" s="1"/>
  <c r="H115" i="1"/>
  <c r="I115" i="1" s="1"/>
  <c r="H174" i="1"/>
  <c r="I174" i="1" s="1"/>
  <c r="H110" i="1"/>
  <c r="I110" i="1" s="1"/>
  <c r="H167" i="1"/>
  <c r="I167" i="1" s="1"/>
  <c r="H102" i="1"/>
  <c r="I102" i="1" s="1"/>
  <c r="H158" i="1"/>
  <c r="I158" i="1" s="1"/>
  <c r="H97" i="1"/>
  <c r="I97" i="1" s="1"/>
  <c r="H149" i="1"/>
  <c r="I149" i="1" s="1"/>
  <c r="H92" i="1"/>
  <c r="I92" i="1" s="1"/>
  <c r="H141" i="1"/>
  <c r="I141" i="1" s="1"/>
  <c r="H88" i="1"/>
  <c r="I88" i="1" s="1"/>
  <c r="H134" i="1"/>
  <c r="I134" i="1" s="1"/>
  <c r="H84" i="1"/>
  <c r="I84" i="1" s="1"/>
  <c r="H128" i="1"/>
  <c r="I128" i="1" s="1"/>
  <c r="H81" i="1"/>
  <c r="I81" i="1" s="1"/>
  <c r="H122" i="1"/>
  <c r="I122" i="1" s="1"/>
  <c r="H77" i="1"/>
  <c r="I77" i="1" s="1"/>
  <c r="H116" i="1"/>
  <c r="I116" i="1" s="1"/>
  <c r="H74" i="1"/>
  <c r="I74" i="1" s="1"/>
  <c r="H111" i="1"/>
  <c r="I111" i="1" s="1"/>
  <c r="H71" i="1"/>
  <c r="I71" i="1" s="1"/>
  <c r="H103" i="1"/>
  <c r="I103" i="1" s="1"/>
  <c r="H69" i="1"/>
  <c r="I69" i="1" s="1"/>
  <c r="H98" i="1"/>
  <c r="I98" i="1" s="1"/>
  <c r="H66" i="1"/>
  <c r="I66" i="1" s="1"/>
  <c r="H93" i="1"/>
  <c r="I93" i="1" s="1"/>
  <c r="H64" i="1"/>
  <c r="I64" i="1" s="1"/>
  <c r="H89" i="1"/>
  <c r="I89" i="1" s="1"/>
  <c r="H61" i="1"/>
  <c r="I61" i="1" s="1"/>
  <c r="H85" i="1"/>
  <c r="I85" i="1" s="1"/>
  <c r="H59" i="1"/>
  <c r="I59" i="1" s="1"/>
  <c r="H82" i="1"/>
  <c r="I82" i="1" s="1"/>
  <c r="H57" i="1"/>
  <c r="I57" i="1" s="1"/>
  <c r="H78" i="1"/>
  <c r="I78" i="1" s="1"/>
  <c r="H55" i="1"/>
  <c r="I55" i="1" s="1"/>
  <c r="H75" i="1"/>
  <c r="I75" i="1" s="1"/>
  <c r="H53" i="1"/>
  <c r="I53" i="1" s="1"/>
  <c r="H72" i="1"/>
  <c r="I72" i="1" s="1"/>
  <c r="H51" i="1"/>
  <c r="I51" i="1" s="1"/>
  <c r="H70" i="1"/>
  <c r="I70" i="1" s="1"/>
  <c r="H49" i="1"/>
  <c r="I49" i="1" s="1"/>
  <c r="H67" i="1"/>
  <c r="I67" i="1" s="1"/>
  <c r="H47" i="1"/>
  <c r="I47" i="1" s="1"/>
  <c r="H65" i="1"/>
  <c r="I65" i="1" s="1"/>
  <c r="H43" i="1"/>
  <c r="I43" i="1" s="1"/>
  <c r="H62" i="1"/>
  <c r="I62" i="1" s="1"/>
  <c r="H41" i="1"/>
  <c r="I41" i="1" s="1"/>
  <c r="H60" i="1"/>
  <c r="I60" i="1" s="1"/>
  <c r="H38" i="1"/>
  <c r="I38" i="1" s="1"/>
  <c r="H58" i="1"/>
  <c r="I58" i="1" s="1"/>
  <c r="H36" i="1"/>
  <c r="I36" i="1" s="1"/>
  <c r="H56" i="1"/>
  <c r="I56" i="1" s="1"/>
  <c r="H34" i="1"/>
  <c r="I34" i="1" s="1"/>
  <c r="H54" i="1"/>
  <c r="I54" i="1" s="1"/>
  <c r="H32" i="1"/>
  <c r="I32" i="1" s="1"/>
  <c r="H52" i="1"/>
  <c r="I52" i="1" s="1"/>
  <c r="H30" i="1"/>
  <c r="I30" i="1" s="1"/>
  <c r="H50" i="1"/>
  <c r="I50" i="1" s="1"/>
  <c r="H28" i="1"/>
  <c r="I28" i="1" s="1"/>
  <c r="H48" i="1"/>
  <c r="I48" i="1" s="1"/>
  <c r="H26" i="1"/>
  <c r="I26" i="1" s="1"/>
  <c r="H44" i="1"/>
  <c r="I44" i="1" s="1"/>
  <c r="H25" i="1"/>
  <c r="I25" i="1" s="1"/>
  <c r="H42" i="1"/>
  <c r="I42" i="1" s="1"/>
  <c r="H22" i="1"/>
  <c r="I22" i="1" s="1"/>
  <c r="H39" i="1"/>
  <c r="I39" i="1" s="1"/>
  <c r="H21" i="1"/>
  <c r="I21" i="1" s="1"/>
  <c r="H37" i="1"/>
  <c r="I37" i="1" s="1"/>
  <c r="H19" i="1"/>
  <c r="I19" i="1" s="1"/>
  <c r="H35" i="1"/>
  <c r="I35" i="1" s="1"/>
  <c r="H18" i="1"/>
  <c r="I18" i="1" s="1"/>
  <c r="H33" i="1"/>
  <c r="I33" i="1" s="1"/>
  <c r="H17" i="1"/>
  <c r="I17" i="1" s="1"/>
  <c r="H31" i="1"/>
  <c r="I31" i="1" s="1"/>
  <c r="H16" i="1"/>
  <c r="I16" i="1" s="1"/>
  <c r="H29" i="1"/>
  <c r="I29" i="1" s="1"/>
  <c r="H15" i="1"/>
  <c r="I15" i="1" s="1"/>
  <c r="H27" i="1"/>
  <c r="I27" i="1" s="1"/>
  <c r="H150" i="1"/>
  <c r="I150" i="1" s="1"/>
  <c r="H195" i="1"/>
  <c r="I195" i="1" s="1"/>
  <c r="H123" i="1"/>
  <c r="I123" i="1" s="1"/>
  <c r="H168" i="1"/>
  <c r="I168" i="1" s="1"/>
  <c r="H112" i="1"/>
  <c r="I112" i="1" s="1"/>
  <c r="H151" i="1"/>
  <c r="I151" i="1" s="1"/>
  <c r="H99" i="1"/>
  <c r="I99" i="1" s="1"/>
  <c r="H135" i="1"/>
  <c r="I135" i="1" s="1"/>
</calcChain>
</file>

<file path=xl/sharedStrings.xml><?xml version="1.0" encoding="utf-8"?>
<sst xmlns="http://schemas.openxmlformats.org/spreadsheetml/2006/main" count="1023" uniqueCount="42">
  <si>
    <t>Date</t>
  </si>
  <si>
    <t>Region</t>
  </si>
  <si>
    <t>Channel</t>
  </si>
  <si>
    <t>Gross_Revenue</t>
  </si>
  <si>
    <t>Refunds</t>
  </si>
  <si>
    <t>Marketing_Spend</t>
  </si>
  <si>
    <t>Web_Traffic</t>
  </si>
  <si>
    <t>North</t>
  </si>
  <si>
    <t>Direct</t>
  </si>
  <si>
    <t>South</t>
  </si>
  <si>
    <t>Social</t>
  </si>
  <si>
    <t>Net_Revenue</t>
  </si>
  <si>
    <t>ROI</t>
  </si>
  <si>
    <t>CPA</t>
  </si>
  <si>
    <t>Month</t>
  </si>
  <si>
    <t>Row Labels</t>
  </si>
  <si>
    <t>Jan</t>
  </si>
  <si>
    <t>Feb</t>
  </si>
  <si>
    <t>Mar</t>
  </si>
  <si>
    <t>Apr</t>
  </si>
  <si>
    <t>May</t>
  </si>
  <si>
    <t>Jun</t>
  </si>
  <si>
    <t>Jul</t>
  </si>
  <si>
    <t>Aug</t>
  </si>
  <si>
    <t>Grand Total</t>
  </si>
  <si>
    <t>Sum of Net_Revenue</t>
  </si>
  <si>
    <t>Sum of Marketing_Spend</t>
  </si>
  <si>
    <t>Sum of Web_Traffic</t>
  </si>
  <si>
    <t>Average of ROI</t>
  </si>
  <si>
    <t>Net Revenue Growth %</t>
  </si>
  <si>
    <t>Marketing Spend Growth %</t>
  </si>
  <si>
    <t>Executive Insights</t>
  </si>
  <si>
    <t>January ROI was 4.97, while August ROI was 4.81.
This indicates that while the business scaled revenue significantly over the 8-month period, marketing efficiency remained relatively stable with only a slight decline. Overall, the company successfully increased revenue without a major loss in marketing efficiency.</t>
  </si>
  <si>
    <t>ROI Analysis (January vs August)</t>
  </si>
  <si>
    <t>Major Events Identified</t>
  </si>
  <si>
    <r>
      <rPr>
        <b/>
        <sz val="12"/>
        <color theme="1"/>
        <rFont val="Calibri"/>
        <family val="2"/>
        <scheme val="minor"/>
      </rPr>
      <t>Event 1 – April Marketing Spend Surge</t>
    </r>
    <r>
      <rPr>
        <sz val="11"/>
        <color theme="1"/>
        <rFont val="Calibri"/>
        <family val="2"/>
        <scheme val="minor"/>
      </rPr>
      <t xml:space="preserve">
Marketing spend increased sharply from $65,410 in March to $110,300 in April (+68.6%), while ROI dropped from 5.00 to 3.90.
This suggests diminishing returns from aggressive marketing expansion or testing of new acquisition channels.
</t>
    </r>
  </si>
  <si>
    <r>
      <rPr>
        <b/>
        <sz val="12"/>
        <color theme="1"/>
        <rFont val="Calibri"/>
        <family val="2"/>
        <scheme val="minor"/>
      </rPr>
      <t>Event 2 – Revenue Decline in May–June</t>
    </r>
    <r>
      <rPr>
        <sz val="11"/>
        <color theme="1"/>
        <rFont val="Calibri"/>
        <family val="2"/>
        <scheme val="minor"/>
      </rPr>
      <t xml:space="preserve">
Net revenue dropped from $379,240 in April to $281,786 in June despite continued marketing spending.
This may indicate campaign inefficiencies, audience saturation, or reduced conversion effectiveness following the April spending surge.</t>
    </r>
  </si>
  <si>
    <r>
      <rPr>
        <b/>
        <sz val="14"/>
        <color theme="1"/>
        <rFont val="Calibri"/>
        <family val="2"/>
        <scheme val="minor"/>
      </rPr>
      <t>Strong Revenue Growth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Net revenue increased from $176,874 in January to $432,454 in August, representing over 140% growth during the period.
</t>
    </r>
    <r>
      <rPr>
        <b/>
        <sz val="14"/>
        <color theme="1"/>
        <rFont val="Calibri"/>
        <family val="2"/>
        <scheme val="minor"/>
      </rPr>
      <t xml:space="preserve">Stable Marketing Efficiency
</t>
    </r>
    <r>
      <rPr>
        <sz val="11"/>
        <color theme="1"/>
        <rFont val="Calibri"/>
        <family val="2"/>
        <scheme val="minor"/>
      </rPr>
      <t xml:space="preserve">
Marketing ROI remained relatively stable, moving from 4.97 in January to 4.81 in August, indicating the company successfully scaled marketing spend while maintaining efficiency.
</t>
    </r>
    <r>
      <rPr>
        <b/>
        <sz val="14"/>
        <color theme="1"/>
        <rFont val="Calibri"/>
        <family val="2"/>
        <scheme val="minor"/>
      </rPr>
      <t>April Marketing Expansion</t>
    </r>
    <r>
      <rPr>
        <sz val="11"/>
        <color theme="1"/>
        <rFont val="Calibri"/>
        <family val="2"/>
        <scheme val="minor"/>
      </rPr>
      <t xml:space="preserve">
Marketing spend increased significantly in April (+68.6%), which temporarily reduced ROI to 3.90, suggesting diminishing returns from aggressive marketing expansion.
</t>
    </r>
    <r>
      <rPr>
        <b/>
        <sz val="14"/>
        <color theme="1"/>
        <rFont val="Calibri"/>
        <family val="2"/>
        <scheme val="minor"/>
      </rPr>
      <t>Revenue Dip After Spend Surge</t>
    </r>
    <r>
      <rPr>
        <sz val="11"/>
        <color theme="1"/>
        <rFont val="Calibri"/>
        <family val="2"/>
        <scheme val="minor"/>
      </rPr>
      <t xml:space="preserve">
Following the April spending spike, revenue declined in May and June, indicating possible campaign saturation or inefficient targeting before performance recovered in July and August.</t>
    </r>
  </si>
  <si>
    <t>Business Performance Audit (Jan – Aug 2025)</t>
  </si>
  <si>
    <t>Key Observations</t>
  </si>
  <si>
    <t>CEO Performance View</t>
  </si>
  <si>
    <t>Traffic to Revenue 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</si>
</sst>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33" borderId="10" xfId="0" applyFont="1" applyFill="1" applyBorder="1"/>
    <xf numFmtId="0" fontId="16" fillId="34" borderId="0" xfId="0" applyFont="1" applyFill="1"/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/>
    <xf numFmtId="0" fontId="19" fillId="37" borderId="0" xfId="0" applyFont="1" applyFill="1" applyAlignment="1">
      <alignment horizontal="center" vertical="center" wrapText="1"/>
    </xf>
    <xf numFmtId="0" fontId="19" fillId="35" borderId="0" xfId="0" applyFont="1" applyFill="1" applyAlignment="1">
      <alignment horizontal="center" vertical="center" wrapText="1"/>
    </xf>
    <xf numFmtId="0" fontId="20" fillId="38" borderId="0" xfId="0" applyFont="1" applyFill="1" applyAlignment="1">
      <alignment horizontal="center" vertical="center" wrapText="1"/>
    </xf>
    <xf numFmtId="0" fontId="0" fillId="38" borderId="0" xfId="0" applyFill="1" applyAlignment="1">
      <alignment horizontal="center" vertical="center" wrapText="1"/>
    </xf>
    <xf numFmtId="0" fontId="22" fillId="36" borderId="0" xfId="0" applyFont="1" applyFill="1" applyAlignment="1">
      <alignment horizontal="left" vertical="center"/>
    </xf>
    <xf numFmtId="0" fontId="23" fillId="36" borderId="0" xfId="0" applyFont="1" applyFill="1" applyAlignment="1">
      <alignment horizontal="left" vertical="center"/>
    </xf>
    <xf numFmtId="0" fontId="19" fillId="39" borderId="0" xfId="0" applyFont="1" applyFill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21" fillId="40" borderId="0" xfId="0" applyFont="1" applyFill="1" applyAlignment="1">
      <alignment horizontal="left" vertical="center"/>
    </xf>
    <xf numFmtId="0" fontId="20" fillId="40" borderId="0" xfId="0" applyFont="1" applyFill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Traffic vs Revenue Correlation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Raw_Data!$G$1</c:f>
              <c:strCache>
                <c:ptCount val="1"/>
                <c:pt idx="0">
                  <c:v>Web_Traffic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Raw_Data!$G$2:$G$487</c:f>
              <c:numCache>
                <c:formatCode>General</c:formatCode>
                <c:ptCount val="486"/>
                <c:pt idx="0">
                  <c:v>16000</c:v>
                </c:pt>
                <c:pt idx="1">
                  <c:v>15500</c:v>
                </c:pt>
                <c:pt idx="2">
                  <c:v>15000</c:v>
                </c:pt>
                <c:pt idx="3">
                  <c:v>17500</c:v>
                </c:pt>
                <c:pt idx="4">
                  <c:v>17000</c:v>
                </c:pt>
                <c:pt idx="5">
                  <c:v>16500</c:v>
                </c:pt>
                <c:pt idx="6">
                  <c:v>14000</c:v>
                </c:pt>
                <c:pt idx="7">
                  <c:v>13000</c:v>
                </c:pt>
                <c:pt idx="8">
                  <c:v>15500</c:v>
                </c:pt>
                <c:pt idx="9">
                  <c:v>14000</c:v>
                </c:pt>
                <c:pt idx="10">
                  <c:v>14500</c:v>
                </c:pt>
                <c:pt idx="11">
                  <c:v>12000</c:v>
                </c:pt>
                <c:pt idx="12">
                  <c:v>15000</c:v>
                </c:pt>
                <c:pt idx="13">
                  <c:v>8050</c:v>
                </c:pt>
                <c:pt idx="14">
                  <c:v>8000</c:v>
                </c:pt>
                <c:pt idx="15">
                  <c:v>7950</c:v>
                </c:pt>
                <c:pt idx="16">
                  <c:v>7900</c:v>
                </c:pt>
                <c:pt idx="17">
                  <c:v>7850</c:v>
                </c:pt>
                <c:pt idx="18">
                  <c:v>13000</c:v>
                </c:pt>
                <c:pt idx="19">
                  <c:v>7800</c:v>
                </c:pt>
                <c:pt idx="20">
                  <c:v>7750</c:v>
                </c:pt>
                <c:pt idx="21">
                  <c:v>10000</c:v>
                </c:pt>
                <c:pt idx="22">
                  <c:v>12000</c:v>
                </c:pt>
                <c:pt idx="23">
                  <c:v>7700</c:v>
                </c:pt>
                <c:pt idx="24">
                  <c:v>7650</c:v>
                </c:pt>
                <c:pt idx="25">
                  <c:v>9350</c:v>
                </c:pt>
                <c:pt idx="26">
                  <c:v>7600</c:v>
                </c:pt>
                <c:pt idx="27">
                  <c:v>9300</c:v>
                </c:pt>
                <c:pt idx="28">
                  <c:v>7550</c:v>
                </c:pt>
                <c:pt idx="29">
                  <c:v>9250</c:v>
                </c:pt>
                <c:pt idx="30">
                  <c:v>7500</c:v>
                </c:pt>
                <c:pt idx="31">
                  <c:v>9200</c:v>
                </c:pt>
                <c:pt idx="32">
                  <c:v>7450</c:v>
                </c:pt>
                <c:pt idx="33">
                  <c:v>9150</c:v>
                </c:pt>
                <c:pt idx="34">
                  <c:v>7400</c:v>
                </c:pt>
                <c:pt idx="35">
                  <c:v>9100</c:v>
                </c:pt>
                <c:pt idx="36">
                  <c:v>7350</c:v>
                </c:pt>
                <c:pt idx="37">
                  <c:v>9050</c:v>
                </c:pt>
                <c:pt idx="38">
                  <c:v>11000</c:v>
                </c:pt>
                <c:pt idx="39">
                  <c:v>7300</c:v>
                </c:pt>
                <c:pt idx="40">
                  <c:v>9000</c:v>
                </c:pt>
                <c:pt idx="41">
                  <c:v>7250</c:v>
                </c:pt>
                <c:pt idx="42">
                  <c:v>8950</c:v>
                </c:pt>
                <c:pt idx="43">
                  <c:v>8000</c:v>
                </c:pt>
                <c:pt idx="44">
                  <c:v>13000</c:v>
                </c:pt>
                <c:pt idx="45">
                  <c:v>7200</c:v>
                </c:pt>
                <c:pt idx="46">
                  <c:v>8900</c:v>
                </c:pt>
                <c:pt idx="47">
                  <c:v>7150</c:v>
                </c:pt>
                <c:pt idx="48">
                  <c:v>8850</c:v>
                </c:pt>
                <c:pt idx="49">
                  <c:v>7100</c:v>
                </c:pt>
                <c:pt idx="50">
                  <c:v>8800</c:v>
                </c:pt>
                <c:pt idx="51">
                  <c:v>7050</c:v>
                </c:pt>
                <c:pt idx="52">
                  <c:v>8750</c:v>
                </c:pt>
                <c:pt idx="53">
                  <c:v>7000</c:v>
                </c:pt>
                <c:pt idx="54">
                  <c:v>8700</c:v>
                </c:pt>
                <c:pt idx="55">
                  <c:v>6950</c:v>
                </c:pt>
                <c:pt idx="56">
                  <c:v>8650</c:v>
                </c:pt>
                <c:pt idx="57">
                  <c:v>6900</c:v>
                </c:pt>
                <c:pt idx="58">
                  <c:v>8600</c:v>
                </c:pt>
                <c:pt idx="59">
                  <c:v>6850</c:v>
                </c:pt>
                <c:pt idx="60">
                  <c:v>8550</c:v>
                </c:pt>
                <c:pt idx="61">
                  <c:v>9100</c:v>
                </c:pt>
                <c:pt idx="62">
                  <c:v>6800</c:v>
                </c:pt>
                <c:pt idx="63">
                  <c:v>8500</c:v>
                </c:pt>
                <c:pt idx="64">
                  <c:v>6750</c:v>
                </c:pt>
                <c:pt idx="65">
                  <c:v>8450</c:v>
                </c:pt>
                <c:pt idx="66">
                  <c:v>10000</c:v>
                </c:pt>
                <c:pt idx="67">
                  <c:v>6700</c:v>
                </c:pt>
                <c:pt idx="68">
                  <c:v>8400</c:v>
                </c:pt>
                <c:pt idx="69">
                  <c:v>6650</c:v>
                </c:pt>
                <c:pt idx="70">
                  <c:v>8350</c:v>
                </c:pt>
                <c:pt idx="71">
                  <c:v>6900</c:v>
                </c:pt>
                <c:pt idx="72">
                  <c:v>6600</c:v>
                </c:pt>
                <c:pt idx="73">
                  <c:v>8300</c:v>
                </c:pt>
                <c:pt idx="74">
                  <c:v>6850</c:v>
                </c:pt>
                <c:pt idx="75">
                  <c:v>6550</c:v>
                </c:pt>
                <c:pt idx="76">
                  <c:v>8250</c:v>
                </c:pt>
                <c:pt idx="77">
                  <c:v>5900</c:v>
                </c:pt>
                <c:pt idx="78">
                  <c:v>6800</c:v>
                </c:pt>
                <c:pt idx="79">
                  <c:v>6500</c:v>
                </c:pt>
                <c:pt idx="80">
                  <c:v>8200</c:v>
                </c:pt>
                <c:pt idx="81">
                  <c:v>6750</c:v>
                </c:pt>
                <c:pt idx="82">
                  <c:v>6450</c:v>
                </c:pt>
                <c:pt idx="83">
                  <c:v>8150</c:v>
                </c:pt>
                <c:pt idx="84">
                  <c:v>5800</c:v>
                </c:pt>
                <c:pt idx="85">
                  <c:v>6700</c:v>
                </c:pt>
                <c:pt idx="86">
                  <c:v>6400</c:v>
                </c:pt>
                <c:pt idx="87">
                  <c:v>8100</c:v>
                </c:pt>
                <c:pt idx="88">
                  <c:v>6650</c:v>
                </c:pt>
                <c:pt idx="89">
                  <c:v>6650</c:v>
                </c:pt>
                <c:pt idx="90">
                  <c:v>6350</c:v>
                </c:pt>
                <c:pt idx="91">
                  <c:v>8050</c:v>
                </c:pt>
                <c:pt idx="92">
                  <c:v>5700</c:v>
                </c:pt>
                <c:pt idx="93">
                  <c:v>6600</c:v>
                </c:pt>
                <c:pt idx="94">
                  <c:v>6600</c:v>
                </c:pt>
                <c:pt idx="95">
                  <c:v>6300</c:v>
                </c:pt>
                <c:pt idx="96">
                  <c:v>8000</c:v>
                </c:pt>
                <c:pt idx="97">
                  <c:v>6100</c:v>
                </c:pt>
                <c:pt idx="98">
                  <c:v>6550</c:v>
                </c:pt>
                <c:pt idx="99">
                  <c:v>6550</c:v>
                </c:pt>
                <c:pt idx="100">
                  <c:v>6250</c:v>
                </c:pt>
                <c:pt idx="101">
                  <c:v>7950</c:v>
                </c:pt>
                <c:pt idx="102">
                  <c:v>5600</c:v>
                </c:pt>
                <c:pt idx="103">
                  <c:v>11000</c:v>
                </c:pt>
                <c:pt idx="104">
                  <c:v>8000</c:v>
                </c:pt>
                <c:pt idx="105">
                  <c:v>6500</c:v>
                </c:pt>
                <c:pt idx="106">
                  <c:v>6500</c:v>
                </c:pt>
                <c:pt idx="107">
                  <c:v>7900</c:v>
                </c:pt>
                <c:pt idx="108">
                  <c:v>6200</c:v>
                </c:pt>
                <c:pt idx="109">
                  <c:v>7900</c:v>
                </c:pt>
                <c:pt idx="110">
                  <c:v>6000</c:v>
                </c:pt>
                <c:pt idx="111">
                  <c:v>6450</c:v>
                </c:pt>
                <c:pt idx="112">
                  <c:v>7850</c:v>
                </c:pt>
                <c:pt idx="113">
                  <c:v>6150</c:v>
                </c:pt>
                <c:pt idx="114">
                  <c:v>7850</c:v>
                </c:pt>
                <c:pt idx="115">
                  <c:v>5500</c:v>
                </c:pt>
                <c:pt idx="116">
                  <c:v>7000</c:v>
                </c:pt>
                <c:pt idx="117">
                  <c:v>6400</c:v>
                </c:pt>
                <c:pt idx="118">
                  <c:v>7800</c:v>
                </c:pt>
                <c:pt idx="119">
                  <c:v>6100</c:v>
                </c:pt>
                <c:pt idx="120">
                  <c:v>7800</c:v>
                </c:pt>
                <c:pt idx="121">
                  <c:v>5900</c:v>
                </c:pt>
                <c:pt idx="122">
                  <c:v>5450</c:v>
                </c:pt>
                <c:pt idx="123">
                  <c:v>6350</c:v>
                </c:pt>
                <c:pt idx="124">
                  <c:v>7750</c:v>
                </c:pt>
                <c:pt idx="125">
                  <c:v>6050</c:v>
                </c:pt>
                <c:pt idx="126">
                  <c:v>7750</c:v>
                </c:pt>
                <c:pt idx="127">
                  <c:v>5400</c:v>
                </c:pt>
                <c:pt idx="128">
                  <c:v>6900</c:v>
                </c:pt>
                <c:pt idx="129">
                  <c:v>6300</c:v>
                </c:pt>
                <c:pt idx="130">
                  <c:v>7700</c:v>
                </c:pt>
                <c:pt idx="131">
                  <c:v>6000</c:v>
                </c:pt>
                <c:pt idx="132">
                  <c:v>7700</c:v>
                </c:pt>
                <c:pt idx="133">
                  <c:v>7600</c:v>
                </c:pt>
                <c:pt idx="134">
                  <c:v>5350</c:v>
                </c:pt>
                <c:pt idx="135">
                  <c:v>6250</c:v>
                </c:pt>
                <c:pt idx="136">
                  <c:v>7650</c:v>
                </c:pt>
                <c:pt idx="137">
                  <c:v>7650</c:v>
                </c:pt>
                <c:pt idx="138">
                  <c:v>5950</c:v>
                </c:pt>
                <c:pt idx="139">
                  <c:v>7650</c:v>
                </c:pt>
                <c:pt idx="140">
                  <c:v>5300</c:v>
                </c:pt>
                <c:pt idx="141">
                  <c:v>6800</c:v>
                </c:pt>
                <c:pt idx="142">
                  <c:v>6200</c:v>
                </c:pt>
                <c:pt idx="143">
                  <c:v>6200</c:v>
                </c:pt>
                <c:pt idx="144">
                  <c:v>7600</c:v>
                </c:pt>
                <c:pt idx="145">
                  <c:v>7600</c:v>
                </c:pt>
                <c:pt idx="146">
                  <c:v>5900</c:v>
                </c:pt>
                <c:pt idx="147">
                  <c:v>7600</c:v>
                </c:pt>
                <c:pt idx="148">
                  <c:v>5800</c:v>
                </c:pt>
                <c:pt idx="149">
                  <c:v>7500</c:v>
                </c:pt>
                <c:pt idx="150">
                  <c:v>5250</c:v>
                </c:pt>
                <c:pt idx="151">
                  <c:v>6150</c:v>
                </c:pt>
                <c:pt idx="152">
                  <c:v>6150</c:v>
                </c:pt>
                <c:pt idx="153">
                  <c:v>7550</c:v>
                </c:pt>
                <c:pt idx="154">
                  <c:v>7550</c:v>
                </c:pt>
                <c:pt idx="155">
                  <c:v>5850</c:v>
                </c:pt>
                <c:pt idx="156">
                  <c:v>7550</c:v>
                </c:pt>
                <c:pt idx="157">
                  <c:v>5200</c:v>
                </c:pt>
                <c:pt idx="158">
                  <c:v>6700</c:v>
                </c:pt>
                <c:pt idx="159">
                  <c:v>9000</c:v>
                </c:pt>
                <c:pt idx="160">
                  <c:v>6100</c:v>
                </c:pt>
                <c:pt idx="161">
                  <c:v>6100</c:v>
                </c:pt>
                <c:pt idx="162">
                  <c:v>7500</c:v>
                </c:pt>
                <c:pt idx="163">
                  <c:v>7500</c:v>
                </c:pt>
                <c:pt idx="164">
                  <c:v>5800</c:v>
                </c:pt>
                <c:pt idx="165">
                  <c:v>7500</c:v>
                </c:pt>
                <c:pt idx="166">
                  <c:v>7400</c:v>
                </c:pt>
                <c:pt idx="167">
                  <c:v>5150</c:v>
                </c:pt>
                <c:pt idx="168">
                  <c:v>6050</c:v>
                </c:pt>
                <c:pt idx="169">
                  <c:v>6050</c:v>
                </c:pt>
                <c:pt idx="170">
                  <c:v>7450</c:v>
                </c:pt>
                <c:pt idx="171">
                  <c:v>5750</c:v>
                </c:pt>
                <c:pt idx="172">
                  <c:v>7450</c:v>
                </c:pt>
                <c:pt idx="173">
                  <c:v>5100</c:v>
                </c:pt>
                <c:pt idx="174">
                  <c:v>6600</c:v>
                </c:pt>
                <c:pt idx="175">
                  <c:v>6000</c:v>
                </c:pt>
                <c:pt idx="176">
                  <c:v>6000</c:v>
                </c:pt>
                <c:pt idx="177">
                  <c:v>6000</c:v>
                </c:pt>
                <c:pt idx="178">
                  <c:v>7400</c:v>
                </c:pt>
                <c:pt idx="179">
                  <c:v>5700</c:v>
                </c:pt>
                <c:pt idx="180">
                  <c:v>7400</c:v>
                </c:pt>
                <c:pt idx="181">
                  <c:v>5050</c:v>
                </c:pt>
                <c:pt idx="182">
                  <c:v>6550</c:v>
                </c:pt>
                <c:pt idx="183">
                  <c:v>5950</c:v>
                </c:pt>
                <c:pt idx="184">
                  <c:v>7350</c:v>
                </c:pt>
                <c:pt idx="185">
                  <c:v>5650</c:v>
                </c:pt>
                <c:pt idx="186">
                  <c:v>7350</c:v>
                </c:pt>
                <c:pt idx="187">
                  <c:v>5000</c:v>
                </c:pt>
                <c:pt idx="188">
                  <c:v>6500</c:v>
                </c:pt>
                <c:pt idx="189">
                  <c:v>5900</c:v>
                </c:pt>
                <c:pt idx="190">
                  <c:v>7300</c:v>
                </c:pt>
                <c:pt idx="191">
                  <c:v>5600</c:v>
                </c:pt>
                <c:pt idx="192">
                  <c:v>7300</c:v>
                </c:pt>
                <c:pt idx="193">
                  <c:v>7200</c:v>
                </c:pt>
                <c:pt idx="194">
                  <c:v>4950</c:v>
                </c:pt>
                <c:pt idx="195">
                  <c:v>6450</c:v>
                </c:pt>
                <c:pt idx="196">
                  <c:v>5850</c:v>
                </c:pt>
                <c:pt idx="197">
                  <c:v>7250</c:v>
                </c:pt>
                <c:pt idx="198">
                  <c:v>5550</c:v>
                </c:pt>
                <c:pt idx="199">
                  <c:v>7250</c:v>
                </c:pt>
                <c:pt idx="200">
                  <c:v>4900</c:v>
                </c:pt>
                <c:pt idx="201">
                  <c:v>6400</c:v>
                </c:pt>
                <c:pt idx="202">
                  <c:v>5800</c:v>
                </c:pt>
                <c:pt idx="203">
                  <c:v>5800</c:v>
                </c:pt>
                <c:pt idx="204">
                  <c:v>7200</c:v>
                </c:pt>
                <c:pt idx="205">
                  <c:v>7200</c:v>
                </c:pt>
                <c:pt idx="206">
                  <c:v>5500</c:v>
                </c:pt>
                <c:pt idx="207">
                  <c:v>7200</c:v>
                </c:pt>
                <c:pt idx="208">
                  <c:v>4850</c:v>
                </c:pt>
                <c:pt idx="209">
                  <c:v>6350</c:v>
                </c:pt>
                <c:pt idx="210">
                  <c:v>5750</c:v>
                </c:pt>
                <c:pt idx="211">
                  <c:v>7150</c:v>
                </c:pt>
                <c:pt idx="212">
                  <c:v>7150</c:v>
                </c:pt>
                <c:pt idx="213">
                  <c:v>5450</c:v>
                </c:pt>
                <c:pt idx="214">
                  <c:v>7150</c:v>
                </c:pt>
                <c:pt idx="215">
                  <c:v>4800</c:v>
                </c:pt>
                <c:pt idx="216">
                  <c:v>6300</c:v>
                </c:pt>
                <c:pt idx="217">
                  <c:v>5700</c:v>
                </c:pt>
                <c:pt idx="218">
                  <c:v>5700</c:v>
                </c:pt>
                <c:pt idx="219">
                  <c:v>7100</c:v>
                </c:pt>
                <c:pt idx="220">
                  <c:v>7100</c:v>
                </c:pt>
                <c:pt idx="221">
                  <c:v>5400</c:v>
                </c:pt>
                <c:pt idx="222">
                  <c:v>7100</c:v>
                </c:pt>
                <c:pt idx="223">
                  <c:v>4750</c:v>
                </c:pt>
                <c:pt idx="224">
                  <c:v>6250</c:v>
                </c:pt>
                <c:pt idx="225">
                  <c:v>5650</c:v>
                </c:pt>
                <c:pt idx="226">
                  <c:v>7050</c:v>
                </c:pt>
                <c:pt idx="227">
                  <c:v>7050</c:v>
                </c:pt>
                <c:pt idx="228">
                  <c:v>5350</c:v>
                </c:pt>
                <c:pt idx="229">
                  <c:v>7050</c:v>
                </c:pt>
                <c:pt idx="230">
                  <c:v>4700</c:v>
                </c:pt>
                <c:pt idx="231">
                  <c:v>6200</c:v>
                </c:pt>
                <c:pt idx="232">
                  <c:v>7000</c:v>
                </c:pt>
                <c:pt idx="233">
                  <c:v>5600</c:v>
                </c:pt>
                <c:pt idx="234">
                  <c:v>5600</c:v>
                </c:pt>
                <c:pt idx="235">
                  <c:v>7000</c:v>
                </c:pt>
                <c:pt idx="236">
                  <c:v>7000</c:v>
                </c:pt>
                <c:pt idx="237">
                  <c:v>5300</c:v>
                </c:pt>
                <c:pt idx="238">
                  <c:v>7000</c:v>
                </c:pt>
                <c:pt idx="239">
                  <c:v>4650</c:v>
                </c:pt>
                <c:pt idx="240">
                  <c:v>6150</c:v>
                </c:pt>
                <c:pt idx="241">
                  <c:v>5550</c:v>
                </c:pt>
                <c:pt idx="242">
                  <c:v>6950</c:v>
                </c:pt>
                <c:pt idx="243">
                  <c:v>5250</c:v>
                </c:pt>
                <c:pt idx="244">
                  <c:v>6950</c:v>
                </c:pt>
                <c:pt idx="245">
                  <c:v>4600</c:v>
                </c:pt>
                <c:pt idx="246">
                  <c:v>6100</c:v>
                </c:pt>
                <c:pt idx="247">
                  <c:v>5500</c:v>
                </c:pt>
                <c:pt idx="248">
                  <c:v>5500</c:v>
                </c:pt>
                <c:pt idx="249">
                  <c:v>6900</c:v>
                </c:pt>
                <c:pt idx="250">
                  <c:v>5200</c:v>
                </c:pt>
                <c:pt idx="251">
                  <c:v>6900</c:v>
                </c:pt>
                <c:pt idx="252">
                  <c:v>4550</c:v>
                </c:pt>
                <c:pt idx="253">
                  <c:v>6050</c:v>
                </c:pt>
                <c:pt idx="254">
                  <c:v>5450</c:v>
                </c:pt>
                <c:pt idx="255">
                  <c:v>6850</c:v>
                </c:pt>
                <c:pt idx="256">
                  <c:v>6850</c:v>
                </c:pt>
                <c:pt idx="257">
                  <c:v>4500</c:v>
                </c:pt>
                <c:pt idx="258">
                  <c:v>6000</c:v>
                </c:pt>
                <c:pt idx="259">
                  <c:v>6800</c:v>
                </c:pt>
                <c:pt idx="260">
                  <c:v>5400</c:v>
                </c:pt>
                <c:pt idx="261">
                  <c:v>5400</c:v>
                </c:pt>
                <c:pt idx="262">
                  <c:v>6800</c:v>
                </c:pt>
                <c:pt idx="263">
                  <c:v>6800</c:v>
                </c:pt>
                <c:pt idx="264">
                  <c:v>4450</c:v>
                </c:pt>
                <c:pt idx="265">
                  <c:v>5950</c:v>
                </c:pt>
                <c:pt idx="266">
                  <c:v>5350</c:v>
                </c:pt>
                <c:pt idx="267">
                  <c:v>6750</c:v>
                </c:pt>
                <c:pt idx="268">
                  <c:v>6750</c:v>
                </c:pt>
                <c:pt idx="269">
                  <c:v>4400</c:v>
                </c:pt>
                <c:pt idx="270">
                  <c:v>5900</c:v>
                </c:pt>
                <c:pt idx="271">
                  <c:v>6700</c:v>
                </c:pt>
                <c:pt idx="272">
                  <c:v>5300</c:v>
                </c:pt>
                <c:pt idx="273">
                  <c:v>5300</c:v>
                </c:pt>
                <c:pt idx="274">
                  <c:v>6700</c:v>
                </c:pt>
                <c:pt idx="275">
                  <c:v>4600</c:v>
                </c:pt>
                <c:pt idx="276">
                  <c:v>4600</c:v>
                </c:pt>
                <c:pt idx="277">
                  <c:v>6700</c:v>
                </c:pt>
                <c:pt idx="278">
                  <c:v>4350</c:v>
                </c:pt>
                <c:pt idx="279">
                  <c:v>5850</c:v>
                </c:pt>
                <c:pt idx="280">
                  <c:v>5250</c:v>
                </c:pt>
                <c:pt idx="281">
                  <c:v>6650</c:v>
                </c:pt>
                <c:pt idx="282">
                  <c:v>6650</c:v>
                </c:pt>
                <c:pt idx="283">
                  <c:v>4300</c:v>
                </c:pt>
                <c:pt idx="284">
                  <c:v>5800</c:v>
                </c:pt>
                <c:pt idx="285">
                  <c:v>6600</c:v>
                </c:pt>
                <c:pt idx="286">
                  <c:v>5200</c:v>
                </c:pt>
                <c:pt idx="287">
                  <c:v>5200</c:v>
                </c:pt>
                <c:pt idx="288">
                  <c:v>6600</c:v>
                </c:pt>
                <c:pt idx="289">
                  <c:v>4500</c:v>
                </c:pt>
                <c:pt idx="290">
                  <c:v>4500</c:v>
                </c:pt>
                <c:pt idx="291">
                  <c:v>4500</c:v>
                </c:pt>
                <c:pt idx="292">
                  <c:v>6600</c:v>
                </c:pt>
                <c:pt idx="293">
                  <c:v>4250</c:v>
                </c:pt>
                <c:pt idx="294">
                  <c:v>5750</c:v>
                </c:pt>
                <c:pt idx="295">
                  <c:v>5150</c:v>
                </c:pt>
                <c:pt idx="296">
                  <c:v>6550</c:v>
                </c:pt>
                <c:pt idx="297">
                  <c:v>6550</c:v>
                </c:pt>
                <c:pt idx="298">
                  <c:v>4200</c:v>
                </c:pt>
                <c:pt idx="299">
                  <c:v>5700</c:v>
                </c:pt>
                <c:pt idx="300">
                  <c:v>6500</c:v>
                </c:pt>
                <c:pt idx="301">
                  <c:v>5100</c:v>
                </c:pt>
                <c:pt idx="302">
                  <c:v>5100</c:v>
                </c:pt>
                <c:pt idx="303">
                  <c:v>6500</c:v>
                </c:pt>
                <c:pt idx="304">
                  <c:v>4400</c:v>
                </c:pt>
                <c:pt idx="305">
                  <c:v>4400</c:v>
                </c:pt>
                <c:pt idx="306">
                  <c:v>6500</c:v>
                </c:pt>
                <c:pt idx="307">
                  <c:v>4150</c:v>
                </c:pt>
                <c:pt idx="308">
                  <c:v>5650</c:v>
                </c:pt>
                <c:pt idx="309">
                  <c:v>5050</c:v>
                </c:pt>
                <c:pt idx="310">
                  <c:v>6450</c:v>
                </c:pt>
                <c:pt idx="311">
                  <c:v>4100</c:v>
                </c:pt>
                <c:pt idx="312">
                  <c:v>5600</c:v>
                </c:pt>
                <c:pt idx="313">
                  <c:v>6400</c:v>
                </c:pt>
                <c:pt idx="314">
                  <c:v>5000</c:v>
                </c:pt>
                <c:pt idx="315">
                  <c:v>5000</c:v>
                </c:pt>
                <c:pt idx="316">
                  <c:v>6400</c:v>
                </c:pt>
                <c:pt idx="317">
                  <c:v>5300</c:v>
                </c:pt>
                <c:pt idx="318">
                  <c:v>5300</c:v>
                </c:pt>
                <c:pt idx="319">
                  <c:v>4050</c:v>
                </c:pt>
                <c:pt idx="320">
                  <c:v>5550</c:v>
                </c:pt>
                <c:pt idx="321">
                  <c:v>4950</c:v>
                </c:pt>
                <c:pt idx="322">
                  <c:v>6350</c:v>
                </c:pt>
                <c:pt idx="323">
                  <c:v>4000</c:v>
                </c:pt>
                <c:pt idx="324">
                  <c:v>5500</c:v>
                </c:pt>
                <c:pt idx="325">
                  <c:v>6300</c:v>
                </c:pt>
                <c:pt idx="326">
                  <c:v>4900</c:v>
                </c:pt>
                <c:pt idx="327">
                  <c:v>4900</c:v>
                </c:pt>
                <c:pt idx="328">
                  <c:v>6300</c:v>
                </c:pt>
                <c:pt idx="329">
                  <c:v>5200</c:v>
                </c:pt>
                <c:pt idx="330">
                  <c:v>5200</c:v>
                </c:pt>
                <c:pt idx="331">
                  <c:v>5200</c:v>
                </c:pt>
                <c:pt idx="332">
                  <c:v>3950</c:v>
                </c:pt>
                <c:pt idx="333">
                  <c:v>5450</c:v>
                </c:pt>
                <c:pt idx="334">
                  <c:v>4850</c:v>
                </c:pt>
                <c:pt idx="335">
                  <c:v>6250</c:v>
                </c:pt>
                <c:pt idx="336">
                  <c:v>3900</c:v>
                </c:pt>
                <c:pt idx="337">
                  <c:v>5400</c:v>
                </c:pt>
                <c:pt idx="338">
                  <c:v>6200</c:v>
                </c:pt>
                <c:pt idx="339">
                  <c:v>4800</c:v>
                </c:pt>
                <c:pt idx="340">
                  <c:v>4800</c:v>
                </c:pt>
                <c:pt idx="341">
                  <c:v>6200</c:v>
                </c:pt>
                <c:pt idx="342">
                  <c:v>5100</c:v>
                </c:pt>
                <c:pt idx="343">
                  <c:v>5100</c:v>
                </c:pt>
                <c:pt idx="344">
                  <c:v>3850</c:v>
                </c:pt>
                <c:pt idx="345">
                  <c:v>5350</c:v>
                </c:pt>
                <c:pt idx="346">
                  <c:v>4750</c:v>
                </c:pt>
                <c:pt idx="347">
                  <c:v>6150</c:v>
                </c:pt>
                <c:pt idx="348">
                  <c:v>3800</c:v>
                </c:pt>
                <c:pt idx="349">
                  <c:v>5300</c:v>
                </c:pt>
                <c:pt idx="350">
                  <c:v>6100</c:v>
                </c:pt>
                <c:pt idx="351">
                  <c:v>4700</c:v>
                </c:pt>
                <c:pt idx="352">
                  <c:v>4700</c:v>
                </c:pt>
                <c:pt idx="353">
                  <c:v>6100</c:v>
                </c:pt>
                <c:pt idx="354">
                  <c:v>3750</c:v>
                </c:pt>
                <c:pt idx="355">
                  <c:v>5250</c:v>
                </c:pt>
                <c:pt idx="356">
                  <c:v>6050</c:v>
                </c:pt>
                <c:pt idx="357">
                  <c:v>3700</c:v>
                </c:pt>
                <c:pt idx="358">
                  <c:v>5200</c:v>
                </c:pt>
                <c:pt idx="359">
                  <c:v>6000</c:v>
                </c:pt>
                <c:pt idx="360">
                  <c:v>4600</c:v>
                </c:pt>
                <c:pt idx="361">
                  <c:v>6000</c:v>
                </c:pt>
                <c:pt idx="362">
                  <c:v>3650</c:v>
                </c:pt>
                <c:pt idx="363">
                  <c:v>5150</c:v>
                </c:pt>
                <c:pt idx="364">
                  <c:v>5950</c:v>
                </c:pt>
                <c:pt idx="365">
                  <c:v>3600</c:v>
                </c:pt>
                <c:pt idx="366">
                  <c:v>5100</c:v>
                </c:pt>
                <c:pt idx="367">
                  <c:v>5900</c:v>
                </c:pt>
                <c:pt idx="368">
                  <c:v>5900</c:v>
                </c:pt>
                <c:pt idx="369">
                  <c:v>3550</c:v>
                </c:pt>
                <c:pt idx="370">
                  <c:v>5050</c:v>
                </c:pt>
                <c:pt idx="371">
                  <c:v>5850</c:v>
                </c:pt>
                <c:pt idx="372">
                  <c:v>3500</c:v>
                </c:pt>
                <c:pt idx="373">
                  <c:v>5000</c:v>
                </c:pt>
                <c:pt idx="374">
                  <c:v>5800</c:v>
                </c:pt>
                <c:pt idx="375">
                  <c:v>5800</c:v>
                </c:pt>
                <c:pt idx="376">
                  <c:v>3450</c:v>
                </c:pt>
                <c:pt idx="377">
                  <c:v>4950</c:v>
                </c:pt>
                <c:pt idx="378">
                  <c:v>5750</c:v>
                </c:pt>
                <c:pt idx="379">
                  <c:v>3400</c:v>
                </c:pt>
                <c:pt idx="380">
                  <c:v>4900</c:v>
                </c:pt>
                <c:pt idx="381">
                  <c:v>5700</c:v>
                </c:pt>
                <c:pt idx="382">
                  <c:v>5700</c:v>
                </c:pt>
                <c:pt idx="383">
                  <c:v>3350</c:v>
                </c:pt>
                <c:pt idx="384">
                  <c:v>4850</c:v>
                </c:pt>
                <c:pt idx="385">
                  <c:v>3300</c:v>
                </c:pt>
                <c:pt idx="386">
                  <c:v>4800</c:v>
                </c:pt>
                <c:pt idx="387">
                  <c:v>5600</c:v>
                </c:pt>
                <c:pt idx="388">
                  <c:v>3250</c:v>
                </c:pt>
                <c:pt idx="389">
                  <c:v>4750</c:v>
                </c:pt>
                <c:pt idx="390">
                  <c:v>3200</c:v>
                </c:pt>
                <c:pt idx="391">
                  <c:v>4700</c:v>
                </c:pt>
                <c:pt idx="392">
                  <c:v>3150</c:v>
                </c:pt>
                <c:pt idx="393">
                  <c:v>4650</c:v>
                </c:pt>
                <c:pt idx="394">
                  <c:v>3100</c:v>
                </c:pt>
                <c:pt idx="395">
                  <c:v>4600</c:v>
                </c:pt>
                <c:pt idx="396">
                  <c:v>3050</c:v>
                </c:pt>
                <c:pt idx="397">
                  <c:v>4550</c:v>
                </c:pt>
                <c:pt idx="398">
                  <c:v>3000</c:v>
                </c:pt>
                <c:pt idx="399">
                  <c:v>4500</c:v>
                </c:pt>
                <c:pt idx="400">
                  <c:v>2950</c:v>
                </c:pt>
                <c:pt idx="401">
                  <c:v>4450</c:v>
                </c:pt>
                <c:pt idx="402">
                  <c:v>2900</c:v>
                </c:pt>
                <c:pt idx="403">
                  <c:v>4400</c:v>
                </c:pt>
                <c:pt idx="404">
                  <c:v>2850</c:v>
                </c:pt>
                <c:pt idx="405">
                  <c:v>4350</c:v>
                </c:pt>
                <c:pt idx="406">
                  <c:v>2800</c:v>
                </c:pt>
                <c:pt idx="407">
                  <c:v>4300</c:v>
                </c:pt>
                <c:pt idx="408">
                  <c:v>2750</c:v>
                </c:pt>
                <c:pt idx="409">
                  <c:v>4250</c:v>
                </c:pt>
                <c:pt idx="410">
                  <c:v>2700</c:v>
                </c:pt>
                <c:pt idx="411">
                  <c:v>4200</c:v>
                </c:pt>
                <c:pt idx="412">
                  <c:v>2650</c:v>
                </c:pt>
                <c:pt idx="413">
                  <c:v>4150</c:v>
                </c:pt>
                <c:pt idx="414">
                  <c:v>2600</c:v>
                </c:pt>
                <c:pt idx="415">
                  <c:v>4100</c:v>
                </c:pt>
                <c:pt idx="416">
                  <c:v>4050</c:v>
                </c:pt>
                <c:pt idx="417">
                  <c:v>2700</c:v>
                </c:pt>
                <c:pt idx="418">
                  <c:v>2700</c:v>
                </c:pt>
                <c:pt idx="419">
                  <c:v>2700</c:v>
                </c:pt>
                <c:pt idx="420">
                  <c:v>2700</c:v>
                </c:pt>
                <c:pt idx="421">
                  <c:v>4000</c:v>
                </c:pt>
                <c:pt idx="422">
                  <c:v>3950</c:v>
                </c:pt>
                <c:pt idx="423">
                  <c:v>2600</c:v>
                </c:pt>
                <c:pt idx="424">
                  <c:v>2600</c:v>
                </c:pt>
                <c:pt idx="425">
                  <c:v>2600</c:v>
                </c:pt>
                <c:pt idx="426">
                  <c:v>2600</c:v>
                </c:pt>
                <c:pt idx="427">
                  <c:v>2600</c:v>
                </c:pt>
                <c:pt idx="428">
                  <c:v>3900</c:v>
                </c:pt>
                <c:pt idx="429">
                  <c:v>2550</c:v>
                </c:pt>
                <c:pt idx="430">
                  <c:v>2550</c:v>
                </c:pt>
                <c:pt idx="431">
                  <c:v>2550</c:v>
                </c:pt>
                <c:pt idx="432">
                  <c:v>2550</c:v>
                </c:pt>
                <c:pt idx="433">
                  <c:v>3850</c:v>
                </c:pt>
                <c:pt idx="434">
                  <c:v>2500</c:v>
                </c:pt>
                <c:pt idx="435">
                  <c:v>2500</c:v>
                </c:pt>
                <c:pt idx="436">
                  <c:v>2500</c:v>
                </c:pt>
                <c:pt idx="437">
                  <c:v>2500</c:v>
                </c:pt>
                <c:pt idx="438">
                  <c:v>2500</c:v>
                </c:pt>
                <c:pt idx="439">
                  <c:v>3800</c:v>
                </c:pt>
                <c:pt idx="440">
                  <c:v>2450</c:v>
                </c:pt>
                <c:pt idx="441">
                  <c:v>2450</c:v>
                </c:pt>
                <c:pt idx="442">
                  <c:v>2450</c:v>
                </c:pt>
                <c:pt idx="443">
                  <c:v>2450</c:v>
                </c:pt>
                <c:pt idx="444">
                  <c:v>2450</c:v>
                </c:pt>
                <c:pt idx="445">
                  <c:v>3750</c:v>
                </c:pt>
                <c:pt idx="446">
                  <c:v>2400</c:v>
                </c:pt>
                <c:pt idx="447">
                  <c:v>2400</c:v>
                </c:pt>
                <c:pt idx="448">
                  <c:v>2400</c:v>
                </c:pt>
                <c:pt idx="449">
                  <c:v>2400</c:v>
                </c:pt>
                <c:pt idx="450">
                  <c:v>3700</c:v>
                </c:pt>
                <c:pt idx="451">
                  <c:v>3800</c:v>
                </c:pt>
                <c:pt idx="452">
                  <c:v>2300</c:v>
                </c:pt>
                <c:pt idx="453">
                  <c:v>3800</c:v>
                </c:pt>
                <c:pt idx="454">
                  <c:v>2300</c:v>
                </c:pt>
                <c:pt idx="455">
                  <c:v>3800</c:v>
                </c:pt>
                <c:pt idx="456">
                  <c:v>2300</c:v>
                </c:pt>
                <c:pt idx="457">
                  <c:v>3800</c:v>
                </c:pt>
                <c:pt idx="458">
                  <c:v>2300</c:v>
                </c:pt>
                <c:pt idx="459">
                  <c:v>3600</c:v>
                </c:pt>
                <c:pt idx="460">
                  <c:v>3600</c:v>
                </c:pt>
                <c:pt idx="461">
                  <c:v>3600</c:v>
                </c:pt>
                <c:pt idx="462">
                  <c:v>3600</c:v>
                </c:pt>
                <c:pt idx="463">
                  <c:v>3600</c:v>
                </c:pt>
                <c:pt idx="464">
                  <c:v>3550</c:v>
                </c:pt>
                <c:pt idx="465">
                  <c:v>3550</c:v>
                </c:pt>
                <c:pt idx="466">
                  <c:v>3550</c:v>
                </c:pt>
                <c:pt idx="467">
                  <c:v>3550</c:v>
                </c:pt>
                <c:pt idx="468">
                  <c:v>3500</c:v>
                </c:pt>
                <c:pt idx="469">
                  <c:v>3500</c:v>
                </c:pt>
                <c:pt idx="470">
                  <c:v>3500</c:v>
                </c:pt>
                <c:pt idx="471">
                  <c:v>3500</c:v>
                </c:pt>
                <c:pt idx="472">
                  <c:v>3500</c:v>
                </c:pt>
                <c:pt idx="473">
                  <c:v>3400</c:v>
                </c:pt>
                <c:pt idx="474">
                  <c:v>3400</c:v>
                </c:pt>
                <c:pt idx="475">
                  <c:v>3400</c:v>
                </c:pt>
                <c:pt idx="476">
                  <c:v>3400</c:v>
                </c:pt>
                <c:pt idx="477">
                  <c:v>3400</c:v>
                </c:pt>
                <c:pt idx="478">
                  <c:v>3400</c:v>
                </c:pt>
                <c:pt idx="479">
                  <c:v>3400</c:v>
                </c:pt>
                <c:pt idx="480">
                  <c:v>3400</c:v>
                </c:pt>
                <c:pt idx="481">
                  <c:v>3400</c:v>
                </c:pt>
                <c:pt idx="482">
                  <c:v>3200</c:v>
                </c:pt>
                <c:pt idx="483">
                  <c:v>3200</c:v>
                </c:pt>
                <c:pt idx="484">
                  <c:v>3200</c:v>
                </c:pt>
                <c:pt idx="485">
                  <c:v>3200</c:v>
                </c:pt>
              </c:numCache>
            </c:numRef>
          </c:xVal>
          <c:yVal>
            <c:numRef>
              <c:f>Raw_Data!$D$2:$D$487</c:f>
              <c:numCache>
                <c:formatCode>General</c:formatCode>
                <c:ptCount val="486"/>
                <c:pt idx="0">
                  <c:v>11500</c:v>
                </c:pt>
                <c:pt idx="1">
                  <c:v>11000</c:v>
                </c:pt>
                <c:pt idx="2">
                  <c:v>10500</c:v>
                </c:pt>
                <c:pt idx="3">
                  <c:v>10500</c:v>
                </c:pt>
                <c:pt idx="4">
                  <c:v>10200</c:v>
                </c:pt>
                <c:pt idx="5">
                  <c:v>9800</c:v>
                </c:pt>
                <c:pt idx="6">
                  <c:v>9500</c:v>
                </c:pt>
                <c:pt idx="7">
                  <c:v>9200</c:v>
                </c:pt>
                <c:pt idx="8">
                  <c:v>9100</c:v>
                </c:pt>
                <c:pt idx="9">
                  <c:v>9000</c:v>
                </c:pt>
                <c:pt idx="10">
                  <c:v>8800</c:v>
                </c:pt>
                <c:pt idx="11">
                  <c:v>8500</c:v>
                </c:pt>
                <c:pt idx="12">
                  <c:v>8500</c:v>
                </c:pt>
                <c:pt idx="13">
                  <c:v>8350</c:v>
                </c:pt>
                <c:pt idx="14">
                  <c:v>8300</c:v>
                </c:pt>
                <c:pt idx="15">
                  <c:v>8250</c:v>
                </c:pt>
                <c:pt idx="16">
                  <c:v>8200</c:v>
                </c:pt>
                <c:pt idx="17">
                  <c:v>8150</c:v>
                </c:pt>
                <c:pt idx="18">
                  <c:v>8100</c:v>
                </c:pt>
                <c:pt idx="19">
                  <c:v>8100</c:v>
                </c:pt>
                <c:pt idx="20">
                  <c:v>8050</c:v>
                </c:pt>
                <c:pt idx="21">
                  <c:v>8000</c:v>
                </c:pt>
                <c:pt idx="22">
                  <c:v>8000</c:v>
                </c:pt>
                <c:pt idx="23">
                  <c:v>8000</c:v>
                </c:pt>
                <c:pt idx="24">
                  <c:v>7950</c:v>
                </c:pt>
                <c:pt idx="25">
                  <c:v>7950</c:v>
                </c:pt>
                <c:pt idx="26">
                  <c:v>7900</c:v>
                </c:pt>
                <c:pt idx="27">
                  <c:v>7900</c:v>
                </c:pt>
                <c:pt idx="28">
                  <c:v>7850</c:v>
                </c:pt>
                <c:pt idx="29">
                  <c:v>7850</c:v>
                </c:pt>
                <c:pt idx="30">
                  <c:v>7800</c:v>
                </c:pt>
                <c:pt idx="31">
                  <c:v>7800</c:v>
                </c:pt>
                <c:pt idx="32">
                  <c:v>7750</c:v>
                </c:pt>
                <c:pt idx="33">
                  <c:v>7750</c:v>
                </c:pt>
                <c:pt idx="34">
                  <c:v>7700</c:v>
                </c:pt>
                <c:pt idx="35">
                  <c:v>7700</c:v>
                </c:pt>
                <c:pt idx="36">
                  <c:v>7650</c:v>
                </c:pt>
                <c:pt idx="37">
                  <c:v>7650</c:v>
                </c:pt>
                <c:pt idx="38">
                  <c:v>7600</c:v>
                </c:pt>
                <c:pt idx="39">
                  <c:v>7600</c:v>
                </c:pt>
                <c:pt idx="40">
                  <c:v>7600</c:v>
                </c:pt>
                <c:pt idx="41">
                  <c:v>7550</c:v>
                </c:pt>
                <c:pt idx="42">
                  <c:v>7550</c:v>
                </c:pt>
                <c:pt idx="43">
                  <c:v>7500</c:v>
                </c:pt>
                <c:pt idx="44">
                  <c:v>7500</c:v>
                </c:pt>
                <c:pt idx="45">
                  <c:v>7500</c:v>
                </c:pt>
                <c:pt idx="46">
                  <c:v>7500</c:v>
                </c:pt>
                <c:pt idx="47">
                  <c:v>7450</c:v>
                </c:pt>
                <c:pt idx="48">
                  <c:v>7450</c:v>
                </c:pt>
                <c:pt idx="49">
                  <c:v>7400</c:v>
                </c:pt>
                <c:pt idx="50">
                  <c:v>7400</c:v>
                </c:pt>
                <c:pt idx="51">
                  <c:v>7350</c:v>
                </c:pt>
                <c:pt idx="52">
                  <c:v>7350</c:v>
                </c:pt>
                <c:pt idx="53">
                  <c:v>7300</c:v>
                </c:pt>
                <c:pt idx="54">
                  <c:v>7300</c:v>
                </c:pt>
                <c:pt idx="55">
                  <c:v>7250</c:v>
                </c:pt>
                <c:pt idx="56">
                  <c:v>7250</c:v>
                </c:pt>
                <c:pt idx="57">
                  <c:v>7200</c:v>
                </c:pt>
                <c:pt idx="58">
                  <c:v>7200</c:v>
                </c:pt>
                <c:pt idx="59">
                  <c:v>7150</c:v>
                </c:pt>
                <c:pt idx="60">
                  <c:v>7150</c:v>
                </c:pt>
                <c:pt idx="61">
                  <c:v>7100</c:v>
                </c:pt>
                <c:pt idx="62">
                  <c:v>7100</c:v>
                </c:pt>
                <c:pt idx="63">
                  <c:v>7100</c:v>
                </c:pt>
                <c:pt idx="64">
                  <c:v>7050</c:v>
                </c:pt>
                <c:pt idx="65">
                  <c:v>7050</c:v>
                </c:pt>
                <c:pt idx="66">
                  <c:v>7000</c:v>
                </c:pt>
                <c:pt idx="67">
                  <c:v>7000</c:v>
                </c:pt>
                <c:pt idx="68">
                  <c:v>7000</c:v>
                </c:pt>
                <c:pt idx="69">
                  <c:v>6950</c:v>
                </c:pt>
                <c:pt idx="70">
                  <c:v>6950</c:v>
                </c:pt>
                <c:pt idx="71">
                  <c:v>6900</c:v>
                </c:pt>
                <c:pt idx="72">
                  <c:v>6900</c:v>
                </c:pt>
                <c:pt idx="73">
                  <c:v>6900</c:v>
                </c:pt>
                <c:pt idx="74">
                  <c:v>6850</c:v>
                </c:pt>
                <c:pt idx="75">
                  <c:v>6850</c:v>
                </c:pt>
                <c:pt idx="76">
                  <c:v>6850</c:v>
                </c:pt>
                <c:pt idx="77">
                  <c:v>6800</c:v>
                </c:pt>
                <c:pt idx="78">
                  <c:v>6800</c:v>
                </c:pt>
                <c:pt idx="79">
                  <c:v>6800</c:v>
                </c:pt>
                <c:pt idx="80">
                  <c:v>6800</c:v>
                </c:pt>
                <c:pt idx="81">
                  <c:v>6750</c:v>
                </c:pt>
                <c:pt idx="82">
                  <c:v>6750</c:v>
                </c:pt>
                <c:pt idx="83">
                  <c:v>6750</c:v>
                </c:pt>
                <c:pt idx="84">
                  <c:v>6700</c:v>
                </c:pt>
                <c:pt idx="85">
                  <c:v>6700</c:v>
                </c:pt>
                <c:pt idx="86">
                  <c:v>6700</c:v>
                </c:pt>
                <c:pt idx="87">
                  <c:v>6700</c:v>
                </c:pt>
                <c:pt idx="88">
                  <c:v>6650</c:v>
                </c:pt>
                <c:pt idx="89">
                  <c:v>6650</c:v>
                </c:pt>
                <c:pt idx="90">
                  <c:v>6650</c:v>
                </c:pt>
                <c:pt idx="91">
                  <c:v>6650</c:v>
                </c:pt>
                <c:pt idx="92">
                  <c:v>6600</c:v>
                </c:pt>
                <c:pt idx="93">
                  <c:v>6600</c:v>
                </c:pt>
                <c:pt idx="94">
                  <c:v>6600</c:v>
                </c:pt>
                <c:pt idx="95">
                  <c:v>6600</c:v>
                </c:pt>
                <c:pt idx="96">
                  <c:v>6600</c:v>
                </c:pt>
                <c:pt idx="97">
                  <c:v>6600</c:v>
                </c:pt>
                <c:pt idx="98">
                  <c:v>6550</c:v>
                </c:pt>
                <c:pt idx="99">
                  <c:v>6550</c:v>
                </c:pt>
                <c:pt idx="100">
                  <c:v>6550</c:v>
                </c:pt>
                <c:pt idx="101">
                  <c:v>6550</c:v>
                </c:pt>
                <c:pt idx="102">
                  <c:v>6500</c:v>
                </c:pt>
                <c:pt idx="103">
                  <c:v>6500</c:v>
                </c:pt>
                <c:pt idx="104">
                  <c:v>6500</c:v>
                </c:pt>
                <c:pt idx="105">
                  <c:v>6500</c:v>
                </c:pt>
                <c:pt idx="106">
                  <c:v>6500</c:v>
                </c:pt>
                <c:pt idx="107">
                  <c:v>6500</c:v>
                </c:pt>
                <c:pt idx="108">
                  <c:v>6500</c:v>
                </c:pt>
                <c:pt idx="109">
                  <c:v>6500</c:v>
                </c:pt>
                <c:pt idx="110">
                  <c:v>6500</c:v>
                </c:pt>
                <c:pt idx="111">
                  <c:v>6450</c:v>
                </c:pt>
                <c:pt idx="112">
                  <c:v>6450</c:v>
                </c:pt>
                <c:pt idx="113">
                  <c:v>6450</c:v>
                </c:pt>
                <c:pt idx="114">
                  <c:v>6450</c:v>
                </c:pt>
                <c:pt idx="115">
                  <c:v>6400</c:v>
                </c:pt>
                <c:pt idx="116">
                  <c:v>6400</c:v>
                </c:pt>
                <c:pt idx="117">
                  <c:v>6400</c:v>
                </c:pt>
                <c:pt idx="118">
                  <c:v>6400</c:v>
                </c:pt>
                <c:pt idx="119">
                  <c:v>6400</c:v>
                </c:pt>
                <c:pt idx="120">
                  <c:v>6400</c:v>
                </c:pt>
                <c:pt idx="121">
                  <c:v>6400</c:v>
                </c:pt>
                <c:pt idx="122">
                  <c:v>6350</c:v>
                </c:pt>
                <c:pt idx="123">
                  <c:v>6350</c:v>
                </c:pt>
                <c:pt idx="124">
                  <c:v>6350</c:v>
                </c:pt>
                <c:pt idx="125">
                  <c:v>6350</c:v>
                </c:pt>
                <c:pt idx="126">
                  <c:v>6350</c:v>
                </c:pt>
                <c:pt idx="127">
                  <c:v>6300</c:v>
                </c:pt>
                <c:pt idx="128">
                  <c:v>6300</c:v>
                </c:pt>
                <c:pt idx="129">
                  <c:v>6300</c:v>
                </c:pt>
                <c:pt idx="130">
                  <c:v>6300</c:v>
                </c:pt>
                <c:pt idx="131">
                  <c:v>6300</c:v>
                </c:pt>
                <c:pt idx="132">
                  <c:v>6300</c:v>
                </c:pt>
                <c:pt idx="133">
                  <c:v>6300</c:v>
                </c:pt>
                <c:pt idx="134">
                  <c:v>6250</c:v>
                </c:pt>
                <c:pt idx="135">
                  <c:v>6250</c:v>
                </c:pt>
                <c:pt idx="136">
                  <c:v>6250</c:v>
                </c:pt>
                <c:pt idx="137">
                  <c:v>6250</c:v>
                </c:pt>
                <c:pt idx="138">
                  <c:v>6250</c:v>
                </c:pt>
                <c:pt idx="139">
                  <c:v>6250</c:v>
                </c:pt>
                <c:pt idx="140">
                  <c:v>6200</c:v>
                </c:pt>
                <c:pt idx="141">
                  <c:v>6200</c:v>
                </c:pt>
                <c:pt idx="142">
                  <c:v>6200</c:v>
                </c:pt>
                <c:pt idx="143">
                  <c:v>6200</c:v>
                </c:pt>
                <c:pt idx="144">
                  <c:v>6200</c:v>
                </c:pt>
                <c:pt idx="145">
                  <c:v>6200</c:v>
                </c:pt>
                <c:pt idx="146">
                  <c:v>6200</c:v>
                </c:pt>
                <c:pt idx="147">
                  <c:v>6200</c:v>
                </c:pt>
                <c:pt idx="148">
                  <c:v>6200</c:v>
                </c:pt>
                <c:pt idx="149">
                  <c:v>6200</c:v>
                </c:pt>
                <c:pt idx="150">
                  <c:v>6150</c:v>
                </c:pt>
                <c:pt idx="151">
                  <c:v>6150</c:v>
                </c:pt>
                <c:pt idx="152">
                  <c:v>6150</c:v>
                </c:pt>
                <c:pt idx="153">
                  <c:v>6150</c:v>
                </c:pt>
                <c:pt idx="154">
                  <c:v>6150</c:v>
                </c:pt>
                <c:pt idx="155">
                  <c:v>6150</c:v>
                </c:pt>
                <c:pt idx="156">
                  <c:v>6150</c:v>
                </c:pt>
                <c:pt idx="157">
                  <c:v>6100</c:v>
                </c:pt>
                <c:pt idx="158">
                  <c:v>6100</c:v>
                </c:pt>
                <c:pt idx="159">
                  <c:v>6100</c:v>
                </c:pt>
                <c:pt idx="160">
                  <c:v>6100</c:v>
                </c:pt>
                <c:pt idx="161">
                  <c:v>6100</c:v>
                </c:pt>
                <c:pt idx="162">
                  <c:v>6100</c:v>
                </c:pt>
                <c:pt idx="163">
                  <c:v>6100</c:v>
                </c:pt>
                <c:pt idx="164">
                  <c:v>6100</c:v>
                </c:pt>
                <c:pt idx="165">
                  <c:v>6100</c:v>
                </c:pt>
                <c:pt idx="166">
                  <c:v>6100</c:v>
                </c:pt>
                <c:pt idx="167">
                  <c:v>6050</c:v>
                </c:pt>
                <c:pt idx="168">
                  <c:v>6050</c:v>
                </c:pt>
                <c:pt idx="169">
                  <c:v>6050</c:v>
                </c:pt>
                <c:pt idx="170">
                  <c:v>6050</c:v>
                </c:pt>
                <c:pt idx="171">
                  <c:v>6050</c:v>
                </c:pt>
                <c:pt idx="172">
                  <c:v>6050</c:v>
                </c:pt>
                <c:pt idx="173">
                  <c:v>6000</c:v>
                </c:pt>
                <c:pt idx="174">
                  <c:v>6000</c:v>
                </c:pt>
                <c:pt idx="175">
                  <c:v>6000</c:v>
                </c:pt>
                <c:pt idx="176">
                  <c:v>6000</c:v>
                </c:pt>
                <c:pt idx="177">
                  <c:v>6000</c:v>
                </c:pt>
                <c:pt idx="178">
                  <c:v>6000</c:v>
                </c:pt>
                <c:pt idx="179">
                  <c:v>6000</c:v>
                </c:pt>
                <c:pt idx="180">
                  <c:v>6000</c:v>
                </c:pt>
                <c:pt idx="181">
                  <c:v>5950</c:v>
                </c:pt>
                <c:pt idx="182">
                  <c:v>5950</c:v>
                </c:pt>
                <c:pt idx="183">
                  <c:v>5950</c:v>
                </c:pt>
                <c:pt idx="184">
                  <c:v>5950</c:v>
                </c:pt>
                <c:pt idx="185">
                  <c:v>5950</c:v>
                </c:pt>
                <c:pt idx="186">
                  <c:v>5950</c:v>
                </c:pt>
                <c:pt idx="187">
                  <c:v>5900</c:v>
                </c:pt>
                <c:pt idx="188">
                  <c:v>5900</c:v>
                </c:pt>
                <c:pt idx="189">
                  <c:v>5900</c:v>
                </c:pt>
                <c:pt idx="190">
                  <c:v>5900</c:v>
                </c:pt>
                <c:pt idx="191">
                  <c:v>5900</c:v>
                </c:pt>
                <c:pt idx="192">
                  <c:v>5900</c:v>
                </c:pt>
                <c:pt idx="193">
                  <c:v>5900</c:v>
                </c:pt>
                <c:pt idx="194">
                  <c:v>5850</c:v>
                </c:pt>
                <c:pt idx="195">
                  <c:v>5850</c:v>
                </c:pt>
                <c:pt idx="196">
                  <c:v>5850</c:v>
                </c:pt>
                <c:pt idx="197">
                  <c:v>5850</c:v>
                </c:pt>
                <c:pt idx="198">
                  <c:v>5850</c:v>
                </c:pt>
                <c:pt idx="199">
                  <c:v>5850</c:v>
                </c:pt>
                <c:pt idx="200">
                  <c:v>5800</c:v>
                </c:pt>
                <c:pt idx="201">
                  <c:v>5800</c:v>
                </c:pt>
                <c:pt idx="202">
                  <c:v>5800</c:v>
                </c:pt>
                <c:pt idx="203">
                  <c:v>5800</c:v>
                </c:pt>
                <c:pt idx="204">
                  <c:v>5800</c:v>
                </c:pt>
                <c:pt idx="205">
                  <c:v>5800</c:v>
                </c:pt>
                <c:pt idx="206">
                  <c:v>5800</c:v>
                </c:pt>
                <c:pt idx="207">
                  <c:v>5800</c:v>
                </c:pt>
                <c:pt idx="208">
                  <c:v>5750</c:v>
                </c:pt>
                <c:pt idx="209">
                  <c:v>5750</c:v>
                </c:pt>
                <c:pt idx="210">
                  <c:v>5750</c:v>
                </c:pt>
                <c:pt idx="211">
                  <c:v>5750</c:v>
                </c:pt>
                <c:pt idx="212">
                  <c:v>5750</c:v>
                </c:pt>
                <c:pt idx="213">
                  <c:v>5750</c:v>
                </c:pt>
                <c:pt idx="214">
                  <c:v>5750</c:v>
                </c:pt>
                <c:pt idx="215">
                  <c:v>5700</c:v>
                </c:pt>
                <c:pt idx="216">
                  <c:v>5700</c:v>
                </c:pt>
                <c:pt idx="217">
                  <c:v>5700</c:v>
                </c:pt>
                <c:pt idx="218">
                  <c:v>5700</c:v>
                </c:pt>
                <c:pt idx="219">
                  <c:v>5700</c:v>
                </c:pt>
                <c:pt idx="220">
                  <c:v>5700</c:v>
                </c:pt>
                <c:pt idx="221">
                  <c:v>5700</c:v>
                </c:pt>
                <c:pt idx="222">
                  <c:v>5700</c:v>
                </c:pt>
                <c:pt idx="223">
                  <c:v>5650</c:v>
                </c:pt>
                <c:pt idx="224">
                  <c:v>5650</c:v>
                </c:pt>
                <c:pt idx="225">
                  <c:v>5650</c:v>
                </c:pt>
                <c:pt idx="226">
                  <c:v>5650</c:v>
                </c:pt>
                <c:pt idx="227">
                  <c:v>5650</c:v>
                </c:pt>
                <c:pt idx="228">
                  <c:v>5650</c:v>
                </c:pt>
                <c:pt idx="229">
                  <c:v>5650</c:v>
                </c:pt>
                <c:pt idx="230">
                  <c:v>5600</c:v>
                </c:pt>
                <c:pt idx="231">
                  <c:v>5600</c:v>
                </c:pt>
                <c:pt idx="232">
                  <c:v>5600</c:v>
                </c:pt>
                <c:pt idx="233">
                  <c:v>5600</c:v>
                </c:pt>
                <c:pt idx="234">
                  <c:v>5600</c:v>
                </c:pt>
                <c:pt idx="235">
                  <c:v>5600</c:v>
                </c:pt>
                <c:pt idx="236">
                  <c:v>5600</c:v>
                </c:pt>
                <c:pt idx="237">
                  <c:v>5600</c:v>
                </c:pt>
                <c:pt idx="238">
                  <c:v>5600</c:v>
                </c:pt>
                <c:pt idx="239">
                  <c:v>5550</c:v>
                </c:pt>
                <c:pt idx="240">
                  <c:v>5550</c:v>
                </c:pt>
                <c:pt idx="241">
                  <c:v>5550</c:v>
                </c:pt>
                <c:pt idx="242">
                  <c:v>5550</c:v>
                </c:pt>
                <c:pt idx="243">
                  <c:v>5550</c:v>
                </c:pt>
                <c:pt idx="244">
                  <c:v>5550</c:v>
                </c:pt>
                <c:pt idx="245">
                  <c:v>5500</c:v>
                </c:pt>
                <c:pt idx="246">
                  <c:v>5500</c:v>
                </c:pt>
                <c:pt idx="247">
                  <c:v>5500</c:v>
                </c:pt>
                <c:pt idx="248">
                  <c:v>5500</c:v>
                </c:pt>
                <c:pt idx="249">
                  <c:v>5500</c:v>
                </c:pt>
                <c:pt idx="250">
                  <c:v>5500</c:v>
                </c:pt>
                <c:pt idx="251">
                  <c:v>5500</c:v>
                </c:pt>
                <c:pt idx="252">
                  <c:v>5450</c:v>
                </c:pt>
                <c:pt idx="253">
                  <c:v>5450</c:v>
                </c:pt>
                <c:pt idx="254">
                  <c:v>5450</c:v>
                </c:pt>
                <c:pt idx="255">
                  <c:v>5450</c:v>
                </c:pt>
                <c:pt idx="256">
                  <c:v>5450</c:v>
                </c:pt>
                <c:pt idx="257">
                  <c:v>5400</c:v>
                </c:pt>
                <c:pt idx="258">
                  <c:v>5400</c:v>
                </c:pt>
                <c:pt idx="259">
                  <c:v>5400</c:v>
                </c:pt>
                <c:pt idx="260">
                  <c:v>5400</c:v>
                </c:pt>
                <c:pt idx="261">
                  <c:v>5400</c:v>
                </c:pt>
                <c:pt idx="262">
                  <c:v>5400</c:v>
                </c:pt>
                <c:pt idx="263">
                  <c:v>5400</c:v>
                </c:pt>
                <c:pt idx="264">
                  <c:v>5350</c:v>
                </c:pt>
                <c:pt idx="265">
                  <c:v>5350</c:v>
                </c:pt>
                <c:pt idx="266">
                  <c:v>5350</c:v>
                </c:pt>
                <c:pt idx="267">
                  <c:v>5350</c:v>
                </c:pt>
                <c:pt idx="268">
                  <c:v>5350</c:v>
                </c:pt>
                <c:pt idx="269">
                  <c:v>5300</c:v>
                </c:pt>
                <c:pt idx="270">
                  <c:v>5300</c:v>
                </c:pt>
                <c:pt idx="271">
                  <c:v>5300</c:v>
                </c:pt>
                <c:pt idx="272">
                  <c:v>5300</c:v>
                </c:pt>
                <c:pt idx="273">
                  <c:v>5300</c:v>
                </c:pt>
                <c:pt idx="274">
                  <c:v>5300</c:v>
                </c:pt>
                <c:pt idx="275">
                  <c:v>5300</c:v>
                </c:pt>
                <c:pt idx="276">
                  <c:v>5300</c:v>
                </c:pt>
                <c:pt idx="277">
                  <c:v>5300</c:v>
                </c:pt>
                <c:pt idx="278">
                  <c:v>5250</c:v>
                </c:pt>
                <c:pt idx="279">
                  <c:v>5250</c:v>
                </c:pt>
                <c:pt idx="280">
                  <c:v>5250</c:v>
                </c:pt>
                <c:pt idx="281">
                  <c:v>5250</c:v>
                </c:pt>
                <c:pt idx="282">
                  <c:v>5250</c:v>
                </c:pt>
                <c:pt idx="283">
                  <c:v>5200</c:v>
                </c:pt>
                <c:pt idx="284">
                  <c:v>5200</c:v>
                </c:pt>
                <c:pt idx="285">
                  <c:v>5200</c:v>
                </c:pt>
                <c:pt idx="286">
                  <c:v>5200</c:v>
                </c:pt>
                <c:pt idx="287">
                  <c:v>5200</c:v>
                </c:pt>
                <c:pt idx="288">
                  <c:v>5200</c:v>
                </c:pt>
                <c:pt idx="289">
                  <c:v>5200</c:v>
                </c:pt>
                <c:pt idx="290">
                  <c:v>5200</c:v>
                </c:pt>
                <c:pt idx="291">
                  <c:v>5200</c:v>
                </c:pt>
                <c:pt idx="292">
                  <c:v>5200</c:v>
                </c:pt>
                <c:pt idx="293">
                  <c:v>5150</c:v>
                </c:pt>
                <c:pt idx="294">
                  <c:v>5150</c:v>
                </c:pt>
                <c:pt idx="295">
                  <c:v>5150</c:v>
                </c:pt>
                <c:pt idx="296">
                  <c:v>5150</c:v>
                </c:pt>
                <c:pt idx="297">
                  <c:v>5150</c:v>
                </c:pt>
                <c:pt idx="298">
                  <c:v>5100</c:v>
                </c:pt>
                <c:pt idx="299">
                  <c:v>5100</c:v>
                </c:pt>
                <c:pt idx="300">
                  <c:v>5100</c:v>
                </c:pt>
                <c:pt idx="301">
                  <c:v>5100</c:v>
                </c:pt>
                <c:pt idx="302">
                  <c:v>5100</c:v>
                </c:pt>
                <c:pt idx="303">
                  <c:v>5100</c:v>
                </c:pt>
                <c:pt idx="304">
                  <c:v>5100</c:v>
                </c:pt>
                <c:pt idx="305">
                  <c:v>5100</c:v>
                </c:pt>
                <c:pt idx="306">
                  <c:v>5100</c:v>
                </c:pt>
                <c:pt idx="307">
                  <c:v>5050</c:v>
                </c:pt>
                <c:pt idx="308">
                  <c:v>5050</c:v>
                </c:pt>
                <c:pt idx="309">
                  <c:v>5050</c:v>
                </c:pt>
                <c:pt idx="310">
                  <c:v>5050</c:v>
                </c:pt>
                <c:pt idx="311">
                  <c:v>5000</c:v>
                </c:pt>
                <c:pt idx="312">
                  <c:v>5000</c:v>
                </c:pt>
                <c:pt idx="313">
                  <c:v>5000</c:v>
                </c:pt>
                <c:pt idx="314">
                  <c:v>5000</c:v>
                </c:pt>
                <c:pt idx="315">
                  <c:v>5000</c:v>
                </c:pt>
                <c:pt idx="316">
                  <c:v>5000</c:v>
                </c:pt>
                <c:pt idx="317">
                  <c:v>5000</c:v>
                </c:pt>
                <c:pt idx="318">
                  <c:v>5000</c:v>
                </c:pt>
                <c:pt idx="319">
                  <c:v>4950</c:v>
                </c:pt>
                <c:pt idx="320">
                  <c:v>4950</c:v>
                </c:pt>
                <c:pt idx="321">
                  <c:v>4950</c:v>
                </c:pt>
                <c:pt idx="322">
                  <c:v>4950</c:v>
                </c:pt>
                <c:pt idx="323">
                  <c:v>4900</c:v>
                </c:pt>
                <c:pt idx="324">
                  <c:v>4900</c:v>
                </c:pt>
                <c:pt idx="325">
                  <c:v>4900</c:v>
                </c:pt>
                <c:pt idx="326">
                  <c:v>4900</c:v>
                </c:pt>
                <c:pt idx="327">
                  <c:v>4900</c:v>
                </c:pt>
                <c:pt idx="328">
                  <c:v>4900</c:v>
                </c:pt>
                <c:pt idx="329">
                  <c:v>4900</c:v>
                </c:pt>
                <c:pt idx="330">
                  <c:v>4900</c:v>
                </c:pt>
                <c:pt idx="331">
                  <c:v>4900</c:v>
                </c:pt>
                <c:pt idx="332">
                  <c:v>4850</c:v>
                </c:pt>
                <c:pt idx="333">
                  <c:v>4850</c:v>
                </c:pt>
                <c:pt idx="334">
                  <c:v>4850</c:v>
                </c:pt>
                <c:pt idx="335">
                  <c:v>4850</c:v>
                </c:pt>
                <c:pt idx="336">
                  <c:v>4800</c:v>
                </c:pt>
                <c:pt idx="337">
                  <c:v>4800</c:v>
                </c:pt>
                <c:pt idx="338">
                  <c:v>4800</c:v>
                </c:pt>
                <c:pt idx="339">
                  <c:v>4800</c:v>
                </c:pt>
                <c:pt idx="340">
                  <c:v>4800</c:v>
                </c:pt>
                <c:pt idx="341">
                  <c:v>4800</c:v>
                </c:pt>
                <c:pt idx="342">
                  <c:v>4800</c:v>
                </c:pt>
                <c:pt idx="343">
                  <c:v>4800</c:v>
                </c:pt>
                <c:pt idx="344">
                  <c:v>4750</c:v>
                </c:pt>
                <c:pt idx="345">
                  <c:v>4750</c:v>
                </c:pt>
                <c:pt idx="346">
                  <c:v>4750</c:v>
                </c:pt>
                <c:pt idx="347">
                  <c:v>4750</c:v>
                </c:pt>
                <c:pt idx="348">
                  <c:v>4700</c:v>
                </c:pt>
                <c:pt idx="349">
                  <c:v>4700</c:v>
                </c:pt>
                <c:pt idx="350">
                  <c:v>4700</c:v>
                </c:pt>
                <c:pt idx="351">
                  <c:v>4700</c:v>
                </c:pt>
                <c:pt idx="352">
                  <c:v>4700</c:v>
                </c:pt>
                <c:pt idx="353">
                  <c:v>4700</c:v>
                </c:pt>
                <c:pt idx="354">
                  <c:v>4650</c:v>
                </c:pt>
                <c:pt idx="355">
                  <c:v>4650</c:v>
                </c:pt>
                <c:pt idx="356">
                  <c:v>4650</c:v>
                </c:pt>
                <c:pt idx="357">
                  <c:v>4600</c:v>
                </c:pt>
                <c:pt idx="358">
                  <c:v>4600</c:v>
                </c:pt>
                <c:pt idx="359">
                  <c:v>4600</c:v>
                </c:pt>
                <c:pt idx="360">
                  <c:v>4600</c:v>
                </c:pt>
                <c:pt idx="361">
                  <c:v>4600</c:v>
                </c:pt>
                <c:pt idx="362">
                  <c:v>4550</c:v>
                </c:pt>
                <c:pt idx="363">
                  <c:v>4550</c:v>
                </c:pt>
                <c:pt idx="364">
                  <c:v>4550</c:v>
                </c:pt>
                <c:pt idx="365">
                  <c:v>4500</c:v>
                </c:pt>
                <c:pt idx="366">
                  <c:v>4500</c:v>
                </c:pt>
                <c:pt idx="367">
                  <c:v>4500</c:v>
                </c:pt>
                <c:pt idx="368">
                  <c:v>4500</c:v>
                </c:pt>
                <c:pt idx="369">
                  <c:v>4450</c:v>
                </c:pt>
                <c:pt idx="370">
                  <c:v>4450</c:v>
                </c:pt>
                <c:pt idx="371">
                  <c:v>4450</c:v>
                </c:pt>
                <c:pt idx="372">
                  <c:v>4400</c:v>
                </c:pt>
                <c:pt idx="373">
                  <c:v>4400</c:v>
                </c:pt>
                <c:pt idx="374">
                  <c:v>4400</c:v>
                </c:pt>
                <c:pt idx="375">
                  <c:v>4400</c:v>
                </c:pt>
                <c:pt idx="376">
                  <c:v>4350</c:v>
                </c:pt>
                <c:pt idx="377">
                  <c:v>4350</c:v>
                </c:pt>
                <c:pt idx="378">
                  <c:v>4350</c:v>
                </c:pt>
                <c:pt idx="379">
                  <c:v>4300</c:v>
                </c:pt>
                <c:pt idx="380">
                  <c:v>4300</c:v>
                </c:pt>
                <c:pt idx="381">
                  <c:v>4300</c:v>
                </c:pt>
                <c:pt idx="382">
                  <c:v>4300</c:v>
                </c:pt>
                <c:pt idx="383">
                  <c:v>4250</c:v>
                </c:pt>
                <c:pt idx="384">
                  <c:v>4250</c:v>
                </c:pt>
                <c:pt idx="385">
                  <c:v>4200</c:v>
                </c:pt>
                <c:pt idx="386">
                  <c:v>4200</c:v>
                </c:pt>
                <c:pt idx="387">
                  <c:v>4200</c:v>
                </c:pt>
                <c:pt idx="388">
                  <c:v>4150</c:v>
                </c:pt>
                <c:pt idx="389">
                  <c:v>4150</c:v>
                </c:pt>
                <c:pt idx="390">
                  <c:v>4100</c:v>
                </c:pt>
                <c:pt idx="391">
                  <c:v>4100</c:v>
                </c:pt>
                <c:pt idx="392">
                  <c:v>4050</c:v>
                </c:pt>
                <c:pt idx="393">
                  <c:v>4050</c:v>
                </c:pt>
                <c:pt idx="394">
                  <c:v>4000</c:v>
                </c:pt>
                <c:pt idx="395">
                  <c:v>4000</c:v>
                </c:pt>
                <c:pt idx="396">
                  <c:v>3950</c:v>
                </c:pt>
                <c:pt idx="397">
                  <c:v>3950</c:v>
                </c:pt>
                <c:pt idx="398">
                  <c:v>3900</c:v>
                </c:pt>
                <c:pt idx="399">
                  <c:v>3900</c:v>
                </c:pt>
                <c:pt idx="400">
                  <c:v>3850</c:v>
                </c:pt>
                <c:pt idx="401">
                  <c:v>3850</c:v>
                </c:pt>
                <c:pt idx="402">
                  <c:v>3800</c:v>
                </c:pt>
                <c:pt idx="403">
                  <c:v>3800</c:v>
                </c:pt>
                <c:pt idx="404">
                  <c:v>3750</c:v>
                </c:pt>
                <c:pt idx="405">
                  <c:v>3750</c:v>
                </c:pt>
                <c:pt idx="406">
                  <c:v>3700</c:v>
                </c:pt>
                <c:pt idx="407">
                  <c:v>3700</c:v>
                </c:pt>
                <c:pt idx="408">
                  <c:v>3650</c:v>
                </c:pt>
                <c:pt idx="409">
                  <c:v>3650</c:v>
                </c:pt>
                <c:pt idx="410">
                  <c:v>3600</c:v>
                </c:pt>
                <c:pt idx="411">
                  <c:v>3600</c:v>
                </c:pt>
                <c:pt idx="412">
                  <c:v>3550</c:v>
                </c:pt>
                <c:pt idx="413">
                  <c:v>3550</c:v>
                </c:pt>
                <c:pt idx="414">
                  <c:v>3500</c:v>
                </c:pt>
                <c:pt idx="415">
                  <c:v>3500</c:v>
                </c:pt>
                <c:pt idx="416">
                  <c:v>3450</c:v>
                </c:pt>
                <c:pt idx="417">
                  <c:v>3400</c:v>
                </c:pt>
                <c:pt idx="418">
                  <c:v>3400</c:v>
                </c:pt>
                <c:pt idx="419">
                  <c:v>3400</c:v>
                </c:pt>
                <c:pt idx="420">
                  <c:v>3400</c:v>
                </c:pt>
                <c:pt idx="421">
                  <c:v>3400</c:v>
                </c:pt>
                <c:pt idx="422">
                  <c:v>3350</c:v>
                </c:pt>
                <c:pt idx="423">
                  <c:v>3300</c:v>
                </c:pt>
                <c:pt idx="424">
                  <c:v>3300</c:v>
                </c:pt>
                <c:pt idx="425">
                  <c:v>3300</c:v>
                </c:pt>
                <c:pt idx="426">
                  <c:v>3300</c:v>
                </c:pt>
                <c:pt idx="427">
                  <c:v>3300</c:v>
                </c:pt>
                <c:pt idx="428">
                  <c:v>3300</c:v>
                </c:pt>
                <c:pt idx="429">
                  <c:v>3250</c:v>
                </c:pt>
                <c:pt idx="430">
                  <c:v>3250</c:v>
                </c:pt>
                <c:pt idx="431">
                  <c:v>3250</c:v>
                </c:pt>
                <c:pt idx="432">
                  <c:v>3250</c:v>
                </c:pt>
                <c:pt idx="433">
                  <c:v>3250</c:v>
                </c:pt>
                <c:pt idx="434">
                  <c:v>3200</c:v>
                </c:pt>
                <c:pt idx="435">
                  <c:v>3200</c:v>
                </c:pt>
                <c:pt idx="436">
                  <c:v>3200</c:v>
                </c:pt>
                <c:pt idx="437">
                  <c:v>3200</c:v>
                </c:pt>
                <c:pt idx="438">
                  <c:v>3200</c:v>
                </c:pt>
                <c:pt idx="439">
                  <c:v>3200</c:v>
                </c:pt>
                <c:pt idx="440">
                  <c:v>3150</c:v>
                </c:pt>
                <c:pt idx="441">
                  <c:v>3150</c:v>
                </c:pt>
                <c:pt idx="442">
                  <c:v>3150</c:v>
                </c:pt>
                <c:pt idx="443">
                  <c:v>3150</c:v>
                </c:pt>
                <c:pt idx="444">
                  <c:v>3150</c:v>
                </c:pt>
                <c:pt idx="445">
                  <c:v>3150</c:v>
                </c:pt>
                <c:pt idx="446">
                  <c:v>3100</c:v>
                </c:pt>
                <c:pt idx="447">
                  <c:v>3100</c:v>
                </c:pt>
                <c:pt idx="448">
                  <c:v>3100</c:v>
                </c:pt>
                <c:pt idx="449">
                  <c:v>3100</c:v>
                </c:pt>
                <c:pt idx="450">
                  <c:v>3100</c:v>
                </c:pt>
                <c:pt idx="451">
                  <c:v>3000</c:v>
                </c:pt>
                <c:pt idx="452">
                  <c:v>3000</c:v>
                </c:pt>
                <c:pt idx="453">
                  <c:v>3000</c:v>
                </c:pt>
                <c:pt idx="454">
                  <c:v>3000</c:v>
                </c:pt>
                <c:pt idx="455">
                  <c:v>3000</c:v>
                </c:pt>
                <c:pt idx="456">
                  <c:v>3000</c:v>
                </c:pt>
                <c:pt idx="457">
                  <c:v>3000</c:v>
                </c:pt>
                <c:pt idx="458">
                  <c:v>3000</c:v>
                </c:pt>
                <c:pt idx="459">
                  <c:v>2900</c:v>
                </c:pt>
                <c:pt idx="460">
                  <c:v>2900</c:v>
                </c:pt>
                <c:pt idx="461">
                  <c:v>2900</c:v>
                </c:pt>
                <c:pt idx="462">
                  <c:v>2900</c:v>
                </c:pt>
                <c:pt idx="463">
                  <c:v>2900</c:v>
                </c:pt>
                <c:pt idx="464">
                  <c:v>2850</c:v>
                </c:pt>
                <c:pt idx="465">
                  <c:v>2850</c:v>
                </c:pt>
                <c:pt idx="466">
                  <c:v>2850</c:v>
                </c:pt>
                <c:pt idx="467">
                  <c:v>2850</c:v>
                </c:pt>
                <c:pt idx="468">
                  <c:v>2800</c:v>
                </c:pt>
                <c:pt idx="469">
                  <c:v>2800</c:v>
                </c:pt>
                <c:pt idx="470">
                  <c:v>2800</c:v>
                </c:pt>
                <c:pt idx="471">
                  <c:v>2800</c:v>
                </c:pt>
                <c:pt idx="472">
                  <c:v>2800</c:v>
                </c:pt>
                <c:pt idx="473">
                  <c:v>2750</c:v>
                </c:pt>
                <c:pt idx="474">
                  <c:v>2750</c:v>
                </c:pt>
                <c:pt idx="475">
                  <c:v>2750</c:v>
                </c:pt>
                <c:pt idx="476">
                  <c:v>2750</c:v>
                </c:pt>
                <c:pt idx="477">
                  <c:v>2750</c:v>
                </c:pt>
                <c:pt idx="478">
                  <c:v>2700</c:v>
                </c:pt>
                <c:pt idx="479">
                  <c:v>2700</c:v>
                </c:pt>
                <c:pt idx="480">
                  <c:v>2700</c:v>
                </c:pt>
                <c:pt idx="481">
                  <c:v>2700</c:v>
                </c:pt>
                <c:pt idx="482">
                  <c:v>2600</c:v>
                </c:pt>
                <c:pt idx="483">
                  <c:v>2600</c:v>
                </c:pt>
                <c:pt idx="484">
                  <c:v>2600</c:v>
                </c:pt>
                <c:pt idx="485">
                  <c:v>2600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12-4742-BB30-412DC771D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2103615"/>
        <c:axId val="1182104095"/>
      </c:scatterChart>
      <c:valAx>
        <c:axId val="11821036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i="0" baseline="0"/>
                  <a:t>Web Traffic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104095"/>
        <c:crosses val="autoZero"/>
        <c:crossBetween val="midCat"/>
      </c:valAx>
      <c:valAx>
        <c:axId val="1182104095"/>
        <c:scaling>
          <c:orientation val="minMax"/>
        </c:scaling>
        <c:delete val="0"/>
        <c:axPos val="l"/>
        <c:title>
          <c:tx>
            <c:rich>
              <a:bodyPr rot="-126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cap="none" baseline="0"/>
                  <a:t>Gross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126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103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Monthly Net Revenue vs Marketing ROI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Executive_Dashboard!$B$70</c:f>
              <c:strCache>
                <c:ptCount val="1"/>
                <c:pt idx="0">
                  <c:v>Sum of Net_Revenue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Executive_Dashboard!$A$71:$A$78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Executive_Dashboard!$B$71:$B$78</c:f>
              <c:numCache>
                <c:formatCode>General</c:formatCode>
                <c:ptCount val="8"/>
                <c:pt idx="0">
                  <c:v>176874</c:v>
                </c:pt>
                <c:pt idx="1">
                  <c:v>211484</c:v>
                </c:pt>
                <c:pt idx="2">
                  <c:v>321020</c:v>
                </c:pt>
                <c:pt idx="3">
                  <c:v>379240</c:v>
                </c:pt>
                <c:pt idx="4">
                  <c:v>309240</c:v>
                </c:pt>
                <c:pt idx="5">
                  <c:v>281786</c:v>
                </c:pt>
                <c:pt idx="6">
                  <c:v>356360</c:v>
                </c:pt>
                <c:pt idx="7">
                  <c:v>432454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C1-4F53-92AC-42B0C8480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9961280"/>
        <c:axId val="259960320"/>
      </c:barChart>
      <c:lineChart>
        <c:grouping val="standard"/>
        <c:varyColors val="0"/>
        <c:ser>
          <c:idx val="1"/>
          <c:order val="1"/>
          <c:tx>
            <c:strRef>
              <c:f>Executive_Dashboard!$E$70</c:f>
              <c:strCache>
                <c:ptCount val="1"/>
                <c:pt idx="0">
                  <c:v>Average of ROI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Executive_Dashboard!$A$71:$A$78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Executive_Dashboard!$E$71:$E$78</c:f>
              <c:numCache>
                <c:formatCode>0.00</c:formatCode>
                <c:ptCount val="8"/>
                <c:pt idx="0">
                  <c:v>4.9713437289571081</c:v>
                </c:pt>
                <c:pt idx="1">
                  <c:v>5.1590201370831155</c:v>
                </c:pt>
                <c:pt idx="2">
                  <c:v>5.0026197961350451</c:v>
                </c:pt>
                <c:pt idx="3">
                  <c:v>3.8975247548799703</c:v>
                </c:pt>
                <c:pt idx="4">
                  <c:v>4.6450220824375688</c:v>
                </c:pt>
                <c:pt idx="5">
                  <c:v>3.8992494335509993</c:v>
                </c:pt>
                <c:pt idx="6">
                  <c:v>4.8878452279773779</c:v>
                </c:pt>
                <c:pt idx="7">
                  <c:v>4.8096725382054029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C1-4F53-92AC-42B0C8480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954560"/>
        <c:axId val="259947840"/>
      </c:lineChart>
      <c:catAx>
        <c:axId val="25996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960320"/>
        <c:crosses val="autoZero"/>
        <c:auto val="1"/>
        <c:lblAlgn val="ctr"/>
        <c:lblOffset val="100"/>
        <c:noMultiLvlLbl val="0"/>
      </c:catAx>
      <c:valAx>
        <c:axId val="259960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961280"/>
        <c:crosses val="autoZero"/>
        <c:crossBetween val="between"/>
      </c:valAx>
      <c:valAx>
        <c:axId val="259947840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954560"/>
        <c:crosses val="max"/>
        <c:crossBetween val="between"/>
      </c:valAx>
      <c:catAx>
        <c:axId val="2599545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5994784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463550</xdr:colOff>
      <xdr:row>6</xdr:row>
      <xdr:rowOff>76200</xdr:rowOff>
    </xdr:from>
    <xdr:to>
      <xdr:col>21</xdr:col>
      <xdr:colOff>533400</xdr:colOff>
      <xdr:row>24</xdr:row>
      <xdr:rowOff>63500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EFCC8D3-1194-4332-B99E-0C4976F7DB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577850</xdr:colOff>
      <xdr:row>6</xdr:row>
      <xdr:rowOff>50800</xdr:rowOff>
    </xdr:from>
    <xdr:to>
      <xdr:col>10</xdr:col>
      <xdr:colOff>76200</xdr:colOff>
      <xdr:row>24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E9D137-13C8-CDF9-1A79-A4B4BA4FFD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eshwanth" refreshedDate="46087.881555092594" createdVersion="8" refreshedVersion="8" minRefreshableVersion="3" recordCount="486" xr:uid="{26BBE399-AF6A-4252-9644-37CCEA77896F}">
  <cacheSource type="worksheet">
    <worksheetSource name="Table1"/>
  </cacheSource>
  <cacheFields count="11">
    <cacheField name="Date" numFmtId="14">
      <sharedItems containsSemiMixedTypes="0" containsNonDate="0" containsDate="1" containsString="0" minDate="2025-01-01T00:00:00" maxDate="2025-09-01T00:00:00"/>
    </cacheField>
    <cacheField name="Region" numFmtId="0">
      <sharedItems/>
    </cacheField>
    <cacheField name="Channel" numFmtId="0">
      <sharedItems/>
    </cacheField>
    <cacheField name="Gross_Revenue" numFmtId="0">
      <sharedItems containsSemiMixedTypes="0" containsString="0" containsNumber="1" containsInteger="1" minValue="2600" maxValue="11500"/>
    </cacheField>
    <cacheField name="Refunds" numFmtId="0">
      <sharedItems containsSemiMixedTypes="0" containsString="0" containsNumber="1" containsInteger="1" minValue="130" maxValue="4900"/>
    </cacheField>
    <cacheField name="Marketing_Spend" numFmtId="0">
      <sharedItems containsSemiMixedTypes="0" containsString="0" containsNumber="1" containsInteger="1" minValue="450" maxValue="4200"/>
    </cacheField>
    <cacheField name="Web_Traffic" numFmtId="0">
      <sharedItems containsSemiMixedTypes="0" containsString="0" containsNumber="1" containsInteger="1" minValue="2300" maxValue="17500"/>
    </cacheField>
    <cacheField name="Net_Revenue" numFmtId="0">
      <sharedItems containsSemiMixedTypes="0" containsString="0" containsNumber="1" containsInteger="1" minValue="400" maxValue="10925"/>
    </cacheField>
    <cacheField name="ROI" numFmtId="0">
      <sharedItems containsSemiMixedTypes="0" containsString="0" containsNumber="1" minValue="0.55555555555555558" maxValue="6.65"/>
    </cacheField>
    <cacheField name="CPA" numFmtId="0">
      <sharedItems containsSemiMixedTypes="0" containsString="0" containsNumber="1" minValue="0.14772727272727273" maxValue="0.24"/>
    </cacheField>
    <cacheField name="Month" numFmtId="0">
      <sharedItems count="8">
        <s v="Jan"/>
        <s v="Feb"/>
        <s v="Mar"/>
        <s v="Apr"/>
        <s v="May"/>
        <s v="Jun"/>
        <s v="Jul"/>
        <s v="Au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6">
  <r>
    <d v="2025-01-01T00:00:00"/>
    <s v="North"/>
    <s v="Direct"/>
    <n v="3200"/>
    <n v="160"/>
    <n v="500"/>
    <n v="2500"/>
    <n v="3040"/>
    <n v="6.08"/>
    <n v="0.2"/>
    <x v="0"/>
  </r>
  <r>
    <d v="2025-01-01T00:00:00"/>
    <s v="South"/>
    <s v="Social"/>
    <n v="2800"/>
    <n v="140"/>
    <n v="700"/>
    <n v="3500"/>
    <n v="2660"/>
    <n v="3.8"/>
    <n v="0.2"/>
    <x v="0"/>
  </r>
  <r>
    <d v="2025-01-02T00:00:00"/>
    <s v="North"/>
    <s v="Direct"/>
    <n v="3150"/>
    <n v="150"/>
    <n v="480"/>
    <n v="2450"/>
    <n v="3000"/>
    <n v="6.25"/>
    <n v="0.19591836734693877"/>
    <x v="0"/>
  </r>
  <r>
    <d v="2025-01-02T00:00:00"/>
    <s v="South"/>
    <s v="Social"/>
    <n v="2750"/>
    <n v="130"/>
    <n v="680"/>
    <n v="3400"/>
    <n v="2620"/>
    <n v="3.8529411764705883"/>
    <n v="0.2"/>
    <x v="0"/>
  </r>
  <r>
    <d v="2025-01-03T00:00:00"/>
    <s v="North"/>
    <s v="Direct"/>
    <n v="3300"/>
    <n v="165"/>
    <n v="520"/>
    <n v="2600"/>
    <n v="3135"/>
    <n v="6.0288461538461542"/>
    <n v="0.2"/>
    <x v="0"/>
  </r>
  <r>
    <d v="2025-01-03T00:00:00"/>
    <s v="South"/>
    <s v="Social"/>
    <n v="2900"/>
    <n v="145"/>
    <n v="720"/>
    <n v="3600"/>
    <n v="2755"/>
    <n v="3.8263888888888888"/>
    <n v="0.2"/>
    <x v="0"/>
  </r>
  <r>
    <d v="2025-01-04T00:00:00"/>
    <s v="North"/>
    <s v="Direct"/>
    <n v="3400"/>
    <n v="170"/>
    <n v="550"/>
    <n v="2700"/>
    <n v="3230"/>
    <n v="5.872727272727273"/>
    <n v="0.20370370370370369"/>
    <x v="0"/>
  </r>
  <r>
    <d v="2025-01-04T00:00:00"/>
    <s v="South"/>
    <s v="Social"/>
    <n v="3000"/>
    <n v="150"/>
    <n v="750"/>
    <n v="3800"/>
    <n v="2850"/>
    <n v="3.8"/>
    <n v="0.19736842105263158"/>
    <x v="0"/>
  </r>
  <r>
    <d v="2025-01-05T00:00:00"/>
    <s v="North"/>
    <s v="Direct"/>
    <n v="3000"/>
    <n v="150"/>
    <n v="450"/>
    <n v="2300"/>
    <n v="2850"/>
    <n v="6.333333333333333"/>
    <n v="0.19565217391304349"/>
    <x v="0"/>
  </r>
  <r>
    <d v="2025-01-05T00:00:00"/>
    <s v="South"/>
    <s v="Social"/>
    <n v="2600"/>
    <n v="130"/>
    <n v="650"/>
    <n v="3200"/>
    <n v="2470"/>
    <n v="3.8"/>
    <n v="0.203125"/>
    <x v="0"/>
  </r>
  <r>
    <d v="2025-01-06T00:00:00"/>
    <s v="North"/>
    <s v="Direct"/>
    <n v="3100"/>
    <n v="155"/>
    <n v="480"/>
    <n v="2400"/>
    <n v="2945"/>
    <n v="6.135416666666667"/>
    <n v="0.2"/>
    <x v="0"/>
  </r>
  <r>
    <d v="2025-01-06T00:00:00"/>
    <s v="South"/>
    <s v="Social"/>
    <n v="2700"/>
    <n v="135"/>
    <n v="680"/>
    <n v="3400"/>
    <n v="2565"/>
    <n v="3.7720588235294117"/>
    <n v="0.2"/>
    <x v="0"/>
  </r>
  <r>
    <d v="2025-01-07T00:00:00"/>
    <s v="North"/>
    <s v="Direct"/>
    <n v="3250"/>
    <n v="162"/>
    <n v="500"/>
    <n v="2550"/>
    <n v="3088"/>
    <n v="6.1760000000000002"/>
    <n v="0.19607843137254902"/>
    <x v="0"/>
  </r>
  <r>
    <d v="2025-01-07T00:00:00"/>
    <s v="South"/>
    <s v="Social"/>
    <n v="2850"/>
    <n v="142"/>
    <n v="700"/>
    <n v="3550"/>
    <n v="2708"/>
    <n v="3.8685714285714288"/>
    <n v="0.19718309859154928"/>
    <x v="0"/>
  </r>
  <r>
    <d v="2025-01-08T00:00:00"/>
    <s v="North"/>
    <s v="Direct"/>
    <n v="3200"/>
    <n v="160"/>
    <n v="500"/>
    <n v="2500"/>
    <n v="3040"/>
    <n v="6.08"/>
    <n v="0.2"/>
    <x v="0"/>
  </r>
  <r>
    <d v="2025-01-08T00:00:00"/>
    <s v="South"/>
    <s v="Social"/>
    <n v="2800"/>
    <n v="140"/>
    <n v="700"/>
    <n v="3500"/>
    <n v="2660"/>
    <n v="3.8"/>
    <n v="0.2"/>
    <x v="0"/>
  </r>
  <r>
    <d v="2025-01-09T00:00:00"/>
    <s v="North"/>
    <s v="Direct"/>
    <n v="3150"/>
    <n v="150"/>
    <n v="480"/>
    <n v="2450"/>
    <n v="3000"/>
    <n v="6.25"/>
    <n v="0.19591836734693877"/>
    <x v="0"/>
  </r>
  <r>
    <d v="2025-01-09T00:00:00"/>
    <s v="South"/>
    <s v="Social"/>
    <n v="2750"/>
    <n v="130"/>
    <n v="680"/>
    <n v="3400"/>
    <n v="2620"/>
    <n v="3.8529411764705883"/>
    <n v="0.2"/>
    <x v="0"/>
  </r>
  <r>
    <d v="2025-01-10T00:00:00"/>
    <s v="North"/>
    <s v="Direct"/>
    <n v="3300"/>
    <n v="165"/>
    <n v="520"/>
    <n v="2600"/>
    <n v="3135"/>
    <n v="6.0288461538461542"/>
    <n v="0.2"/>
    <x v="0"/>
  </r>
  <r>
    <d v="2025-01-10T00:00:00"/>
    <s v="South"/>
    <s v="Social"/>
    <n v="2900"/>
    <n v="145"/>
    <n v="720"/>
    <n v="3600"/>
    <n v="2755"/>
    <n v="3.8263888888888888"/>
    <n v="0.2"/>
    <x v="0"/>
  </r>
  <r>
    <d v="2025-01-11T00:00:00"/>
    <s v="North"/>
    <s v="Direct"/>
    <n v="3400"/>
    <n v="170"/>
    <n v="550"/>
    <n v="2700"/>
    <n v="3230"/>
    <n v="5.872727272727273"/>
    <n v="0.20370370370370369"/>
    <x v="0"/>
  </r>
  <r>
    <d v="2025-01-11T00:00:00"/>
    <s v="South"/>
    <s v="Social"/>
    <n v="3000"/>
    <n v="150"/>
    <n v="750"/>
    <n v="3800"/>
    <n v="2850"/>
    <n v="3.8"/>
    <n v="0.19736842105263158"/>
    <x v="0"/>
  </r>
  <r>
    <d v="2025-01-12T00:00:00"/>
    <s v="North"/>
    <s v="Direct"/>
    <n v="3000"/>
    <n v="150"/>
    <n v="450"/>
    <n v="2300"/>
    <n v="2850"/>
    <n v="6.333333333333333"/>
    <n v="0.19565217391304349"/>
    <x v="0"/>
  </r>
  <r>
    <d v="2025-01-12T00:00:00"/>
    <s v="South"/>
    <s v="Social"/>
    <n v="2600"/>
    <n v="130"/>
    <n v="650"/>
    <n v="3200"/>
    <n v="2470"/>
    <n v="3.8"/>
    <n v="0.203125"/>
    <x v="0"/>
  </r>
  <r>
    <d v="2025-01-13T00:00:00"/>
    <s v="North"/>
    <s v="Direct"/>
    <n v="3100"/>
    <n v="155"/>
    <n v="480"/>
    <n v="2400"/>
    <n v="2945"/>
    <n v="6.135416666666667"/>
    <n v="0.2"/>
    <x v="0"/>
  </r>
  <r>
    <d v="2025-01-13T00:00:00"/>
    <s v="South"/>
    <s v="Social"/>
    <n v="2700"/>
    <n v="135"/>
    <n v="680"/>
    <n v="3400"/>
    <n v="2565"/>
    <n v="3.7720588235294117"/>
    <n v="0.2"/>
    <x v="0"/>
  </r>
  <r>
    <d v="2025-01-14T00:00:00"/>
    <s v="North"/>
    <s v="Direct"/>
    <n v="3250"/>
    <n v="162"/>
    <n v="500"/>
    <n v="2550"/>
    <n v="3088"/>
    <n v="6.1760000000000002"/>
    <n v="0.19607843137254902"/>
    <x v="0"/>
  </r>
  <r>
    <d v="2025-01-14T00:00:00"/>
    <s v="South"/>
    <s v="Social"/>
    <n v="2850"/>
    <n v="142"/>
    <n v="700"/>
    <n v="3550"/>
    <n v="2708"/>
    <n v="3.8685714285714288"/>
    <n v="0.19718309859154928"/>
    <x v="0"/>
  </r>
  <r>
    <d v="2025-01-15T00:00:00"/>
    <s v="North"/>
    <s v="Direct"/>
    <n v="3200"/>
    <n v="160"/>
    <n v="500"/>
    <n v="2500"/>
    <n v="3040"/>
    <n v="6.08"/>
    <n v="0.2"/>
    <x v="0"/>
  </r>
  <r>
    <d v="2025-01-15T00:00:00"/>
    <s v="South"/>
    <s v="Social"/>
    <n v="2800"/>
    <n v="140"/>
    <n v="700"/>
    <n v="3500"/>
    <n v="2660"/>
    <n v="3.8"/>
    <n v="0.2"/>
    <x v="0"/>
  </r>
  <r>
    <d v="2025-01-16T00:00:00"/>
    <s v="North"/>
    <s v="Direct"/>
    <n v="3150"/>
    <n v="150"/>
    <n v="480"/>
    <n v="2450"/>
    <n v="3000"/>
    <n v="6.25"/>
    <n v="0.19591836734693877"/>
    <x v="0"/>
  </r>
  <r>
    <d v="2025-01-16T00:00:00"/>
    <s v="South"/>
    <s v="Social"/>
    <n v="2750"/>
    <n v="130"/>
    <n v="680"/>
    <n v="3400"/>
    <n v="2620"/>
    <n v="3.8529411764705883"/>
    <n v="0.2"/>
    <x v="0"/>
  </r>
  <r>
    <d v="2025-01-17T00:00:00"/>
    <s v="North"/>
    <s v="Direct"/>
    <n v="3300"/>
    <n v="165"/>
    <n v="520"/>
    <n v="2600"/>
    <n v="3135"/>
    <n v="6.0288461538461542"/>
    <n v="0.2"/>
    <x v="0"/>
  </r>
  <r>
    <d v="2025-01-17T00:00:00"/>
    <s v="South"/>
    <s v="Social"/>
    <n v="2900"/>
    <n v="145"/>
    <n v="720"/>
    <n v="3600"/>
    <n v="2755"/>
    <n v="3.8263888888888888"/>
    <n v="0.2"/>
    <x v="0"/>
  </r>
  <r>
    <d v="2025-01-18T00:00:00"/>
    <s v="North"/>
    <s v="Direct"/>
    <n v="3400"/>
    <n v="170"/>
    <n v="550"/>
    <n v="2700"/>
    <n v="3230"/>
    <n v="5.872727272727273"/>
    <n v="0.20370370370370369"/>
    <x v="0"/>
  </r>
  <r>
    <d v="2025-01-18T00:00:00"/>
    <s v="South"/>
    <s v="Social"/>
    <n v="3000"/>
    <n v="150"/>
    <n v="750"/>
    <n v="3800"/>
    <n v="2850"/>
    <n v="3.8"/>
    <n v="0.19736842105263158"/>
    <x v="0"/>
  </r>
  <r>
    <d v="2025-01-19T00:00:00"/>
    <s v="North"/>
    <s v="Direct"/>
    <n v="3000"/>
    <n v="150"/>
    <n v="450"/>
    <n v="2300"/>
    <n v="2850"/>
    <n v="6.333333333333333"/>
    <n v="0.19565217391304349"/>
    <x v="0"/>
  </r>
  <r>
    <d v="2025-01-19T00:00:00"/>
    <s v="South"/>
    <s v="Social"/>
    <n v="2600"/>
    <n v="130"/>
    <n v="650"/>
    <n v="3200"/>
    <n v="2470"/>
    <n v="3.8"/>
    <n v="0.203125"/>
    <x v="0"/>
  </r>
  <r>
    <d v="2025-01-20T00:00:00"/>
    <s v="North"/>
    <s v="Direct"/>
    <n v="3100"/>
    <n v="155"/>
    <n v="480"/>
    <n v="2400"/>
    <n v="2945"/>
    <n v="6.135416666666667"/>
    <n v="0.2"/>
    <x v="0"/>
  </r>
  <r>
    <d v="2025-01-20T00:00:00"/>
    <s v="South"/>
    <s v="Social"/>
    <n v="2700"/>
    <n v="135"/>
    <n v="680"/>
    <n v="3400"/>
    <n v="2565"/>
    <n v="3.7720588235294117"/>
    <n v="0.2"/>
    <x v="0"/>
  </r>
  <r>
    <d v="2025-01-21T00:00:00"/>
    <s v="North"/>
    <s v="Direct"/>
    <n v="3250"/>
    <n v="162"/>
    <n v="500"/>
    <n v="2550"/>
    <n v="3088"/>
    <n v="6.1760000000000002"/>
    <n v="0.19607843137254902"/>
    <x v="0"/>
  </r>
  <r>
    <d v="2025-01-21T00:00:00"/>
    <s v="South"/>
    <s v="Social"/>
    <n v="2850"/>
    <n v="142"/>
    <n v="700"/>
    <n v="3550"/>
    <n v="2708"/>
    <n v="3.8685714285714288"/>
    <n v="0.19718309859154928"/>
    <x v="0"/>
  </r>
  <r>
    <d v="2025-01-22T00:00:00"/>
    <s v="North"/>
    <s v="Direct"/>
    <n v="3200"/>
    <n v="160"/>
    <n v="500"/>
    <n v="2500"/>
    <n v="3040"/>
    <n v="6.08"/>
    <n v="0.2"/>
    <x v="0"/>
  </r>
  <r>
    <d v="2025-01-22T00:00:00"/>
    <s v="South"/>
    <s v="Social"/>
    <n v="2800"/>
    <n v="140"/>
    <n v="700"/>
    <n v="3500"/>
    <n v="2660"/>
    <n v="3.8"/>
    <n v="0.2"/>
    <x v="0"/>
  </r>
  <r>
    <d v="2025-01-23T00:00:00"/>
    <s v="North"/>
    <s v="Direct"/>
    <n v="3150"/>
    <n v="150"/>
    <n v="480"/>
    <n v="2450"/>
    <n v="3000"/>
    <n v="6.25"/>
    <n v="0.19591836734693877"/>
    <x v="0"/>
  </r>
  <r>
    <d v="2025-01-23T00:00:00"/>
    <s v="South"/>
    <s v="Social"/>
    <n v="2750"/>
    <n v="130"/>
    <n v="680"/>
    <n v="3400"/>
    <n v="2620"/>
    <n v="3.8529411764705883"/>
    <n v="0.2"/>
    <x v="0"/>
  </r>
  <r>
    <d v="2025-01-24T00:00:00"/>
    <s v="North"/>
    <s v="Direct"/>
    <n v="3300"/>
    <n v="165"/>
    <n v="520"/>
    <n v="2600"/>
    <n v="3135"/>
    <n v="6.0288461538461542"/>
    <n v="0.2"/>
    <x v="0"/>
  </r>
  <r>
    <d v="2025-01-24T00:00:00"/>
    <s v="South"/>
    <s v="Social"/>
    <n v="2900"/>
    <n v="145"/>
    <n v="720"/>
    <n v="3600"/>
    <n v="2755"/>
    <n v="3.8263888888888888"/>
    <n v="0.2"/>
    <x v="0"/>
  </r>
  <r>
    <d v="2025-01-25T00:00:00"/>
    <s v="North"/>
    <s v="Direct"/>
    <n v="3400"/>
    <n v="170"/>
    <n v="550"/>
    <n v="2700"/>
    <n v="3230"/>
    <n v="5.872727272727273"/>
    <n v="0.20370370370370369"/>
    <x v="0"/>
  </r>
  <r>
    <d v="2025-01-25T00:00:00"/>
    <s v="South"/>
    <s v="Social"/>
    <n v="3000"/>
    <n v="150"/>
    <n v="750"/>
    <n v="3800"/>
    <n v="2850"/>
    <n v="3.8"/>
    <n v="0.19736842105263158"/>
    <x v="0"/>
  </r>
  <r>
    <d v="2025-01-26T00:00:00"/>
    <s v="North"/>
    <s v="Direct"/>
    <n v="3000"/>
    <n v="150"/>
    <n v="450"/>
    <n v="2300"/>
    <n v="2850"/>
    <n v="6.333333333333333"/>
    <n v="0.19565217391304349"/>
    <x v="0"/>
  </r>
  <r>
    <d v="2025-01-26T00:00:00"/>
    <s v="South"/>
    <s v="Social"/>
    <n v="2600"/>
    <n v="130"/>
    <n v="650"/>
    <n v="3200"/>
    <n v="2470"/>
    <n v="3.8"/>
    <n v="0.203125"/>
    <x v="0"/>
  </r>
  <r>
    <d v="2025-01-27T00:00:00"/>
    <s v="North"/>
    <s v="Direct"/>
    <n v="3100"/>
    <n v="155"/>
    <n v="480"/>
    <n v="2400"/>
    <n v="2945"/>
    <n v="6.135416666666667"/>
    <n v="0.2"/>
    <x v="0"/>
  </r>
  <r>
    <d v="2025-01-27T00:00:00"/>
    <s v="South"/>
    <s v="Social"/>
    <n v="2700"/>
    <n v="135"/>
    <n v="680"/>
    <n v="3400"/>
    <n v="2565"/>
    <n v="3.7720588235294117"/>
    <n v="0.2"/>
    <x v="0"/>
  </r>
  <r>
    <d v="2025-01-28T00:00:00"/>
    <s v="North"/>
    <s v="Direct"/>
    <n v="3250"/>
    <n v="162"/>
    <n v="500"/>
    <n v="2550"/>
    <n v="3088"/>
    <n v="6.1760000000000002"/>
    <n v="0.19607843137254902"/>
    <x v="0"/>
  </r>
  <r>
    <d v="2025-01-28T00:00:00"/>
    <s v="South"/>
    <s v="Social"/>
    <n v="2850"/>
    <n v="142"/>
    <n v="700"/>
    <n v="3550"/>
    <n v="2708"/>
    <n v="3.8685714285714288"/>
    <n v="0.19718309859154928"/>
    <x v="0"/>
  </r>
  <r>
    <d v="2025-01-29T00:00:00"/>
    <s v="North"/>
    <s v="Direct"/>
    <n v="3200"/>
    <n v="160"/>
    <n v="500"/>
    <n v="2500"/>
    <n v="3040"/>
    <n v="6.08"/>
    <n v="0.2"/>
    <x v="0"/>
  </r>
  <r>
    <d v="2025-01-29T00:00:00"/>
    <s v="South"/>
    <s v="Social"/>
    <n v="2800"/>
    <n v="140"/>
    <n v="700"/>
    <n v="3500"/>
    <n v="2660"/>
    <n v="3.8"/>
    <n v="0.2"/>
    <x v="0"/>
  </r>
  <r>
    <d v="2025-01-30T00:00:00"/>
    <s v="North"/>
    <s v="Direct"/>
    <n v="3150"/>
    <n v="150"/>
    <n v="480"/>
    <n v="2450"/>
    <n v="3000"/>
    <n v="6.25"/>
    <n v="0.19591836734693877"/>
    <x v="0"/>
  </r>
  <r>
    <d v="2025-01-30T00:00:00"/>
    <s v="South"/>
    <s v="Social"/>
    <n v="2750"/>
    <n v="130"/>
    <n v="680"/>
    <n v="3400"/>
    <n v="2620"/>
    <n v="3.8529411764705883"/>
    <n v="0.2"/>
    <x v="0"/>
  </r>
  <r>
    <d v="2025-01-31T00:00:00"/>
    <s v="North"/>
    <s v="Direct"/>
    <n v="3300"/>
    <n v="165"/>
    <n v="520"/>
    <n v="2600"/>
    <n v="3135"/>
    <n v="6.0288461538461542"/>
    <n v="0.2"/>
    <x v="0"/>
  </r>
  <r>
    <d v="2025-01-31T00:00:00"/>
    <s v="South"/>
    <s v="Social"/>
    <n v="2900"/>
    <n v="145"/>
    <n v="720"/>
    <n v="3600"/>
    <n v="2755"/>
    <n v="3.8263888888888888"/>
    <n v="0.2"/>
    <x v="0"/>
  </r>
  <r>
    <d v="2025-02-01T00:00:00"/>
    <s v="North"/>
    <s v="Direct"/>
    <n v="3500"/>
    <n v="175"/>
    <n v="500"/>
    <n v="2600"/>
    <n v="3325"/>
    <n v="6.65"/>
    <n v="0.19230769230769232"/>
    <x v="1"/>
  </r>
  <r>
    <d v="2025-02-01T00:00:00"/>
    <s v="South"/>
    <s v="Social"/>
    <n v="3100"/>
    <n v="155"/>
    <n v="750"/>
    <n v="3700"/>
    <n v="2945"/>
    <n v="3.9266666666666667"/>
    <n v="0.20270270270270271"/>
    <x v="1"/>
  </r>
  <r>
    <d v="2025-02-02T00:00:00"/>
    <s v="North"/>
    <s v="Direct"/>
    <n v="3550"/>
    <n v="177"/>
    <n v="510"/>
    <n v="2650"/>
    <n v="3373"/>
    <n v="6.613725490196078"/>
    <n v="0.19245283018867926"/>
    <x v="1"/>
  </r>
  <r>
    <d v="2025-02-02T00:00:00"/>
    <s v="South"/>
    <s v="Social"/>
    <n v="3150"/>
    <n v="157"/>
    <n v="760"/>
    <n v="3750"/>
    <n v="2993"/>
    <n v="3.9381578947368423"/>
    <n v="0.20266666666666666"/>
    <x v="1"/>
  </r>
  <r>
    <d v="2025-02-03T00:00:00"/>
    <s v="North"/>
    <s v="Direct"/>
    <n v="3600"/>
    <n v="180"/>
    <n v="520"/>
    <n v="2700"/>
    <n v="3420"/>
    <n v="6.5769230769230766"/>
    <n v="0.19259259259259259"/>
    <x v="1"/>
  </r>
  <r>
    <d v="2025-02-03T00:00:00"/>
    <s v="South"/>
    <s v="Social"/>
    <n v="3200"/>
    <n v="160"/>
    <n v="770"/>
    <n v="3800"/>
    <n v="3040"/>
    <n v="3.948051948051948"/>
    <n v="0.20263157894736841"/>
    <x v="1"/>
  </r>
  <r>
    <d v="2025-02-04T00:00:00"/>
    <s v="North"/>
    <s v="Direct"/>
    <n v="3650"/>
    <n v="182"/>
    <n v="530"/>
    <n v="2750"/>
    <n v="3468"/>
    <n v="6.5433962264150942"/>
    <n v="0.19272727272727272"/>
    <x v="1"/>
  </r>
  <r>
    <d v="2025-02-04T00:00:00"/>
    <s v="South"/>
    <s v="Social"/>
    <n v="3250"/>
    <n v="162"/>
    <n v="780"/>
    <n v="3850"/>
    <n v="3088"/>
    <n v="3.9589743589743591"/>
    <n v="0.20259740259740261"/>
    <x v="1"/>
  </r>
  <r>
    <d v="2025-02-05T00:00:00"/>
    <s v="North"/>
    <s v="Direct"/>
    <n v="3700"/>
    <n v="185"/>
    <n v="540"/>
    <n v="2800"/>
    <n v="3515"/>
    <n v="6.5092592592592595"/>
    <n v="0.19285714285714287"/>
    <x v="1"/>
  </r>
  <r>
    <d v="2025-02-05T00:00:00"/>
    <s v="South"/>
    <s v="Social"/>
    <n v="3300"/>
    <n v="165"/>
    <n v="790"/>
    <n v="3900"/>
    <n v="3135"/>
    <n v="3.9683544303797467"/>
    <n v="0.20256410256410257"/>
    <x v="1"/>
  </r>
  <r>
    <d v="2025-02-06T00:00:00"/>
    <s v="North"/>
    <s v="Direct"/>
    <n v="3750"/>
    <n v="187"/>
    <n v="550"/>
    <n v="2850"/>
    <n v="3563"/>
    <n v="6.4781818181818185"/>
    <n v="0.19298245614035087"/>
    <x v="1"/>
  </r>
  <r>
    <d v="2025-02-06T00:00:00"/>
    <s v="South"/>
    <s v="Social"/>
    <n v="3350"/>
    <n v="167"/>
    <n v="800"/>
    <n v="3950"/>
    <n v="3183"/>
    <n v="3.9787499999999998"/>
    <n v="0.20253164556962025"/>
    <x v="1"/>
  </r>
  <r>
    <d v="2025-02-07T00:00:00"/>
    <s v="North"/>
    <s v="Direct"/>
    <n v="3800"/>
    <n v="190"/>
    <n v="560"/>
    <n v="2900"/>
    <n v="3610"/>
    <n v="6.4464285714285712"/>
    <n v="0.19310344827586207"/>
    <x v="1"/>
  </r>
  <r>
    <d v="2025-02-07T00:00:00"/>
    <s v="South"/>
    <s v="Social"/>
    <n v="3400"/>
    <n v="170"/>
    <n v="810"/>
    <n v="4000"/>
    <n v="3230"/>
    <n v="3.9876543209876543"/>
    <n v="0.20250000000000001"/>
    <x v="1"/>
  </r>
  <r>
    <d v="2025-02-08T00:00:00"/>
    <s v="North"/>
    <s v="Direct"/>
    <n v="3850"/>
    <n v="192"/>
    <n v="570"/>
    <n v="2950"/>
    <n v="3658"/>
    <n v="6.4175438596491228"/>
    <n v="0.19322033898305085"/>
    <x v="1"/>
  </r>
  <r>
    <d v="2025-02-08T00:00:00"/>
    <s v="South"/>
    <s v="Social"/>
    <n v="3450"/>
    <n v="172"/>
    <n v="820"/>
    <n v="4050"/>
    <n v="3278"/>
    <n v="3.9975609756097561"/>
    <n v="0.20246913580246914"/>
    <x v="1"/>
  </r>
  <r>
    <d v="2025-02-09T00:00:00"/>
    <s v="North"/>
    <s v="Direct"/>
    <n v="3900"/>
    <n v="195"/>
    <n v="580"/>
    <n v="3000"/>
    <n v="3705"/>
    <n v="6.3879310344827589"/>
    <n v="0.19333333333333333"/>
    <x v="1"/>
  </r>
  <r>
    <d v="2025-02-09T00:00:00"/>
    <s v="South"/>
    <s v="Social"/>
    <n v="3500"/>
    <n v="175"/>
    <n v="830"/>
    <n v="4100"/>
    <n v="3325"/>
    <n v="4.0060240963855422"/>
    <n v="0.20243902439024392"/>
    <x v="1"/>
  </r>
  <r>
    <d v="2025-02-10T00:00:00"/>
    <s v="North"/>
    <s v="Direct"/>
    <n v="3950"/>
    <n v="197"/>
    <n v="590"/>
    <n v="3050"/>
    <n v="3753"/>
    <n v="6.3610169491525426"/>
    <n v="0.19344262295081968"/>
    <x v="1"/>
  </r>
  <r>
    <d v="2025-02-10T00:00:00"/>
    <s v="South"/>
    <s v="Social"/>
    <n v="3550"/>
    <n v="177"/>
    <n v="840"/>
    <n v="4150"/>
    <n v="3373"/>
    <n v="4.0154761904761909"/>
    <n v="0.20240963855421687"/>
    <x v="1"/>
  </r>
  <r>
    <d v="2025-02-11T00:00:00"/>
    <s v="North"/>
    <s v="Direct"/>
    <n v="4000"/>
    <n v="200"/>
    <n v="600"/>
    <n v="3100"/>
    <n v="3800"/>
    <n v="6.333333333333333"/>
    <n v="0.19354838709677419"/>
    <x v="1"/>
  </r>
  <r>
    <d v="2025-02-11T00:00:00"/>
    <s v="South"/>
    <s v="Social"/>
    <n v="3600"/>
    <n v="180"/>
    <n v="850"/>
    <n v="4200"/>
    <n v="3420"/>
    <n v="4.0235294117647058"/>
    <n v="0.20238095238095238"/>
    <x v="1"/>
  </r>
  <r>
    <d v="2025-02-12T00:00:00"/>
    <s v="North"/>
    <s v="Direct"/>
    <n v="4050"/>
    <n v="202"/>
    <n v="610"/>
    <n v="3150"/>
    <n v="3848"/>
    <n v="6.3081967213114751"/>
    <n v="0.19365079365079366"/>
    <x v="1"/>
  </r>
  <r>
    <d v="2025-02-12T00:00:00"/>
    <s v="South"/>
    <s v="Social"/>
    <n v="3650"/>
    <n v="182"/>
    <n v="860"/>
    <n v="4250"/>
    <n v="3468"/>
    <n v="4.032558139534884"/>
    <n v="0.2023529411764706"/>
    <x v="1"/>
  </r>
  <r>
    <d v="2025-02-13T00:00:00"/>
    <s v="North"/>
    <s v="Direct"/>
    <n v="4100"/>
    <n v="205"/>
    <n v="620"/>
    <n v="3200"/>
    <n v="3895"/>
    <n v="6.282258064516129"/>
    <n v="0.19375000000000001"/>
    <x v="1"/>
  </r>
  <r>
    <d v="2025-02-13T00:00:00"/>
    <s v="South"/>
    <s v="Social"/>
    <n v="3700"/>
    <n v="185"/>
    <n v="870"/>
    <n v="4300"/>
    <n v="3515"/>
    <n v="4.0402298850574709"/>
    <n v="0.20232558139534884"/>
    <x v="1"/>
  </r>
  <r>
    <d v="2025-02-14T00:00:00"/>
    <s v="North"/>
    <s v="Direct"/>
    <n v="4150"/>
    <n v="207"/>
    <n v="630"/>
    <n v="3250"/>
    <n v="3943"/>
    <n v="6.2587301587301587"/>
    <n v="0.19384615384615383"/>
    <x v="1"/>
  </r>
  <r>
    <d v="2025-02-14T00:00:00"/>
    <s v="South"/>
    <s v="Social"/>
    <n v="3750"/>
    <n v="187"/>
    <n v="880"/>
    <n v="4350"/>
    <n v="3563"/>
    <n v="4.0488636363636363"/>
    <n v="0.20229885057471264"/>
    <x v="1"/>
  </r>
  <r>
    <d v="2025-02-15T00:00:00"/>
    <s v="North"/>
    <s v="Direct"/>
    <n v="4200"/>
    <n v="210"/>
    <n v="640"/>
    <n v="3300"/>
    <n v="3990"/>
    <n v="6.234375"/>
    <n v="0.19393939393939394"/>
    <x v="1"/>
  </r>
  <r>
    <d v="2025-02-15T00:00:00"/>
    <s v="South"/>
    <s v="Social"/>
    <n v="3800"/>
    <n v="190"/>
    <n v="890"/>
    <n v="4400"/>
    <n v="3610"/>
    <n v="4.0561797752808992"/>
    <n v="0.20227272727272727"/>
    <x v="1"/>
  </r>
  <r>
    <d v="2025-02-16T00:00:00"/>
    <s v="North"/>
    <s v="Direct"/>
    <n v="4250"/>
    <n v="212"/>
    <n v="650"/>
    <n v="3350"/>
    <n v="4038"/>
    <n v="6.2123076923076921"/>
    <n v="0.19402985074626866"/>
    <x v="1"/>
  </r>
  <r>
    <d v="2025-02-16T00:00:00"/>
    <s v="South"/>
    <s v="Social"/>
    <n v="3850"/>
    <n v="192"/>
    <n v="900"/>
    <n v="4450"/>
    <n v="3658"/>
    <n v="4.0644444444444447"/>
    <n v="0.20224719101123595"/>
    <x v="1"/>
  </r>
  <r>
    <d v="2025-02-17T00:00:00"/>
    <s v="North"/>
    <s v="Direct"/>
    <n v="4300"/>
    <n v="215"/>
    <n v="660"/>
    <n v="3400"/>
    <n v="4085"/>
    <n v="6.1893939393939394"/>
    <n v="0.19411764705882353"/>
    <x v="1"/>
  </r>
  <r>
    <d v="2025-02-17T00:00:00"/>
    <s v="South"/>
    <s v="Social"/>
    <n v="3900"/>
    <n v="195"/>
    <n v="910"/>
    <n v="4500"/>
    <n v="3705"/>
    <n v="4.0714285714285712"/>
    <n v="0.20222222222222222"/>
    <x v="1"/>
  </r>
  <r>
    <d v="2025-02-18T00:00:00"/>
    <s v="North"/>
    <s v="Direct"/>
    <n v="4350"/>
    <n v="217"/>
    <n v="670"/>
    <n v="3450"/>
    <n v="4133"/>
    <n v="6.1686567164179102"/>
    <n v="0.19420289855072465"/>
    <x v="1"/>
  </r>
  <r>
    <d v="2025-02-18T00:00:00"/>
    <s v="South"/>
    <s v="Social"/>
    <n v="3950"/>
    <n v="197"/>
    <n v="920"/>
    <n v="4550"/>
    <n v="3753"/>
    <n v="4.0793478260869565"/>
    <n v="0.2021978021978022"/>
    <x v="1"/>
  </r>
  <r>
    <d v="2025-02-19T00:00:00"/>
    <s v="North"/>
    <s v="Direct"/>
    <n v="4400"/>
    <n v="220"/>
    <n v="680"/>
    <n v="3500"/>
    <n v="4180"/>
    <n v="6.1470588235294121"/>
    <n v="0.19428571428571428"/>
    <x v="1"/>
  </r>
  <r>
    <d v="2025-02-19T00:00:00"/>
    <s v="South"/>
    <s v="Social"/>
    <n v="4000"/>
    <n v="200"/>
    <n v="930"/>
    <n v="4600"/>
    <n v="3800"/>
    <n v="4.086021505376344"/>
    <n v="0.20217391304347826"/>
    <x v="1"/>
  </r>
  <r>
    <d v="2025-02-20T00:00:00"/>
    <s v="North"/>
    <s v="Direct"/>
    <n v="4450"/>
    <n v="222"/>
    <n v="690"/>
    <n v="3550"/>
    <n v="4228"/>
    <n v="6.1275362318840578"/>
    <n v="0.19436619718309858"/>
    <x v="1"/>
  </r>
  <r>
    <d v="2025-02-20T00:00:00"/>
    <s v="South"/>
    <s v="Social"/>
    <n v="4050"/>
    <n v="202"/>
    <n v="940"/>
    <n v="4650"/>
    <n v="3848"/>
    <n v="4.0936170212765957"/>
    <n v="0.2021505376344086"/>
    <x v="1"/>
  </r>
  <r>
    <d v="2025-02-21T00:00:00"/>
    <s v="North"/>
    <s v="Direct"/>
    <n v="4500"/>
    <n v="225"/>
    <n v="700"/>
    <n v="3600"/>
    <n v="4275"/>
    <n v="6.1071428571428568"/>
    <n v="0.19444444444444445"/>
    <x v="1"/>
  </r>
  <r>
    <d v="2025-02-21T00:00:00"/>
    <s v="South"/>
    <s v="Social"/>
    <n v="4100"/>
    <n v="205"/>
    <n v="950"/>
    <n v="4700"/>
    <n v="3895"/>
    <n v="4.0999999999999996"/>
    <n v="0.20212765957446807"/>
    <x v="1"/>
  </r>
  <r>
    <d v="2025-02-22T00:00:00"/>
    <s v="North"/>
    <s v="Direct"/>
    <n v="4550"/>
    <n v="227"/>
    <n v="710"/>
    <n v="3650"/>
    <n v="4323"/>
    <n v="6.0887323943661968"/>
    <n v="0.19452054794520549"/>
    <x v="1"/>
  </r>
  <r>
    <d v="2025-02-22T00:00:00"/>
    <s v="South"/>
    <s v="Social"/>
    <n v="4150"/>
    <n v="207"/>
    <n v="960"/>
    <n v="4750"/>
    <n v="3943"/>
    <n v="4.1072916666666668"/>
    <n v="0.20210526315789473"/>
    <x v="1"/>
  </r>
  <r>
    <d v="2025-02-23T00:00:00"/>
    <s v="North"/>
    <s v="Direct"/>
    <n v="4600"/>
    <n v="230"/>
    <n v="720"/>
    <n v="3700"/>
    <n v="4370"/>
    <n v="6.0694444444444446"/>
    <n v="0.19459459459459461"/>
    <x v="1"/>
  </r>
  <r>
    <d v="2025-02-23T00:00:00"/>
    <s v="South"/>
    <s v="Social"/>
    <n v="4200"/>
    <n v="210"/>
    <n v="970"/>
    <n v="4800"/>
    <n v="3990"/>
    <n v="4.1134020618556697"/>
    <n v="0.20208333333333334"/>
    <x v="1"/>
  </r>
  <r>
    <d v="2025-02-24T00:00:00"/>
    <s v="North"/>
    <s v="Direct"/>
    <n v="4650"/>
    <n v="232"/>
    <n v="730"/>
    <n v="3750"/>
    <n v="4418"/>
    <n v="6.0520547945205481"/>
    <n v="0.19466666666666665"/>
    <x v="1"/>
  </r>
  <r>
    <d v="2025-02-24T00:00:00"/>
    <s v="South"/>
    <s v="Social"/>
    <n v="4250"/>
    <n v="212"/>
    <n v="980"/>
    <n v="4850"/>
    <n v="4038"/>
    <n v="4.1204081632653065"/>
    <n v="0.2020618556701031"/>
    <x v="1"/>
  </r>
  <r>
    <d v="2025-02-25T00:00:00"/>
    <s v="North"/>
    <s v="Direct"/>
    <n v="4700"/>
    <n v="235"/>
    <n v="740"/>
    <n v="3800"/>
    <n v="4465"/>
    <n v="6.0337837837837842"/>
    <n v="0.19473684210526315"/>
    <x v="1"/>
  </r>
  <r>
    <d v="2025-02-25T00:00:00"/>
    <s v="South"/>
    <s v="Social"/>
    <n v="4300"/>
    <n v="215"/>
    <n v="990"/>
    <n v="4900"/>
    <n v="4085"/>
    <n v="4.1262626262626263"/>
    <n v="0.20204081632653062"/>
    <x v="1"/>
  </r>
  <r>
    <d v="2025-02-26T00:00:00"/>
    <s v="North"/>
    <s v="Direct"/>
    <n v="4750"/>
    <n v="237"/>
    <n v="750"/>
    <n v="3850"/>
    <n v="4513"/>
    <n v="6.0173333333333332"/>
    <n v="0.19480519480519481"/>
    <x v="1"/>
  </r>
  <r>
    <d v="2025-02-26T00:00:00"/>
    <s v="South"/>
    <s v="Social"/>
    <n v="4350"/>
    <n v="217"/>
    <n v="1000"/>
    <n v="4950"/>
    <n v="4133"/>
    <n v="4.133"/>
    <n v="0.20202020202020202"/>
    <x v="1"/>
  </r>
  <r>
    <d v="2025-02-27T00:00:00"/>
    <s v="North"/>
    <s v="Direct"/>
    <n v="4800"/>
    <n v="240"/>
    <n v="760"/>
    <n v="3900"/>
    <n v="4560"/>
    <n v="6"/>
    <n v="0.19487179487179487"/>
    <x v="1"/>
  </r>
  <r>
    <d v="2025-02-27T00:00:00"/>
    <s v="South"/>
    <s v="Social"/>
    <n v="4400"/>
    <n v="220"/>
    <n v="1010"/>
    <n v="5000"/>
    <n v="4180"/>
    <n v="4.1386138613861387"/>
    <n v="0.20200000000000001"/>
    <x v="1"/>
  </r>
  <r>
    <d v="2025-02-28T00:00:00"/>
    <s v="North"/>
    <s v="Direct"/>
    <n v="4850"/>
    <n v="242"/>
    <n v="770"/>
    <n v="3950"/>
    <n v="4608"/>
    <n v="5.9844155844155846"/>
    <n v="0.19493670886075951"/>
    <x v="1"/>
  </r>
  <r>
    <d v="2025-02-28T00:00:00"/>
    <s v="South"/>
    <s v="Social"/>
    <n v="4450"/>
    <n v="222"/>
    <n v="1020"/>
    <n v="5050"/>
    <n v="4228"/>
    <n v="4.1450980392156866"/>
    <n v="0.20198019801980199"/>
    <x v="1"/>
  </r>
  <r>
    <d v="2025-03-01T00:00:00"/>
    <s v="North"/>
    <s v="Direct"/>
    <n v="4900"/>
    <n v="245"/>
    <n v="780"/>
    <n v="4000"/>
    <n v="4655"/>
    <n v="5.9679487179487181"/>
    <n v="0.19500000000000001"/>
    <x v="2"/>
  </r>
  <r>
    <d v="2025-03-01T00:00:00"/>
    <s v="South"/>
    <s v="Social"/>
    <n v="4500"/>
    <n v="225"/>
    <n v="1030"/>
    <n v="5100"/>
    <n v="4275"/>
    <n v="4.150485436893204"/>
    <n v="0.20196078431372549"/>
    <x v="2"/>
  </r>
  <r>
    <d v="2025-03-02T00:00:00"/>
    <s v="North"/>
    <s v="Direct"/>
    <n v="4950"/>
    <n v="247"/>
    <n v="790"/>
    <n v="4050"/>
    <n v="4703"/>
    <n v="5.9531645569620251"/>
    <n v="0.19506172839506172"/>
    <x v="2"/>
  </r>
  <r>
    <d v="2025-03-02T00:00:00"/>
    <s v="South"/>
    <s v="Social"/>
    <n v="4550"/>
    <n v="227"/>
    <n v="1040"/>
    <n v="5150"/>
    <n v="4323"/>
    <n v="4.1567307692307693"/>
    <n v="0.20194174757281552"/>
    <x v="2"/>
  </r>
  <r>
    <d v="2025-03-03T00:00:00"/>
    <s v="North"/>
    <s v="Direct"/>
    <n v="5000"/>
    <n v="250"/>
    <n v="800"/>
    <n v="4100"/>
    <n v="4750"/>
    <n v="5.9375"/>
    <n v="0.1951219512195122"/>
    <x v="2"/>
  </r>
  <r>
    <d v="2025-03-03T00:00:00"/>
    <s v="South"/>
    <s v="Social"/>
    <n v="4600"/>
    <n v="230"/>
    <n v="1050"/>
    <n v="5200"/>
    <n v="4370"/>
    <n v="4.1619047619047622"/>
    <n v="0.20192307692307693"/>
    <x v="2"/>
  </r>
  <r>
    <d v="2025-03-04T00:00:00"/>
    <s v="North"/>
    <s v="Direct"/>
    <n v="5050"/>
    <n v="252"/>
    <n v="810"/>
    <n v="4150"/>
    <n v="4798"/>
    <n v="5.9234567901234572"/>
    <n v="0.19518072289156627"/>
    <x v="2"/>
  </r>
  <r>
    <d v="2025-03-04T00:00:00"/>
    <s v="South"/>
    <s v="Social"/>
    <n v="4650"/>
    <n v="232"/>
    <n v="1060"/>
    <n v="5250"/>
    <n v="4418"/>
    <n v="4.1679245283018869"/>
    <n v="0.20190476190476189"/>
    <x v="2"/>
  </r>
  <r>
    <d v="2025-03-05T00:00:00"/>
    <s v="North"/>
    <s v="Direct"/>
    <n v="5100"/>
    <n v="255"/>
    <n v="820"/>
    <n v="4200"/>
    <n v="4845"/>
    <n v="5.9085365853658534"/>
    <n v="0.19523809523809524"/>
    <x v="2"/>
  </r>
  <r>
    <d v="2025-03-05T00:00:00"/>
    <s v="South"/>
    <s v="Social"/>
    <n v="4700"/>
    <n v="235"/>
    <n v="1070"/>
    <n v="5300"/>
    <n v="4465"/>
    <n v="4.1728971962616823"/>
    <n v="0.2018867924528302"/>
    <x v="2"/>
  </r>
  <r>
    <d v="2025-03-06T00:00:00"/>
    <s v="North"/>
    <s v="Direct"/>
    <n v="5150"/>
    <n v="257"/>
    <n v="830"/>
    <n v="4250"/>
    <n v="4893"/>
    <n v="5.895180722891566"/>
    <n v="0.19529411764705881"/>
    <x v="2"/>
  </r>
  <r>
    <d v="2025-03-06T00:00:00"/>
    <s v="South"/>
    <s v="Social"/>
    <n v="4750"/>
    <n v="237"/>
    <n v="1080"/>
    <n v="5350"/>
    <n v="4513"/>
    <n v="4.1787037037037038"/>
    <n v="0.20186915887850468"/>
    <x v="2"/>
  </r>
  <r>
    <d v="2025-03-07T00:00:00"/>
    <s v="North"/>
    <s v="Direct"/>
    <n v="5200"/>
    <n v="260"/>
    <n v="840"/>
    <n v="4300"/>
    <n v="4940"/>
    <n v="5.8809523809523814"/>
    <n v="0.19534883720930232"/>
    <x v="2"/>
  </r>
  <r>
    <d v="2025-03-07T00:00:00"/>
    <s v="South"/>
    <s v="Social"/>
    <n v="4800"/>
    <n v="240"/>
    <n v="1090"/>
    <n v="5400"/>
    <n v="4560"/>
    <n v="4.1834862385321099"/>
    <n v="0.20185185185185187"/>
    <x v="2"/>
  </r>
  <r>
    <d v="2025-03-08T00:00:00"/>
    <s v="North"/>
    <s v="Direct"/>
    <n v="5250"/>
    <n v="262"/>
    <n v="850"/>
    <n v="4350"/>
    <n v="4988"/>
    <n v="5.868235294117647"/>
    <n v="0.19540229885057472"/>
    <x v="2"/>
  </r>
  <r>
    <d v="2025-03-08T00:00:00"/>
    <s v="South"/>
    <s v="Social"/>
    <n v="4850"/>
    <n v="242"/>
    <n v="1100"/>
    <n v="5450"/>
    <n v="4608"/>
    <n v="4.1890909090909094"/>
    <n v="0.20183486238532111"/>
    <x v="2"/>
  </r>
  <r>
    <d v="2025-03-09T00:00:00"/>
    <s v="North"/>
    <s v="Direct"/>
    <n v="5300"/>
    <n v="265"/>
    <n v="860"/>
    <n v="4400"/>
    <n v="5035"/>
    <n v="5.8546511627906979"/>
    <n v="0.19545454545454546"/>
    <x v="2"/>
  </r>
  <r>
    <d v="2025-03-09T00:00:00"/>
    <s v="South"/>
    <s v="Social"/>
    <n v="4900"/>
    <n v="245"/>
    <n v="1110"/>
    <n v="5500"/>
    <n v="4655"/>
    <n v="4.1936936936936933"/>
    <n v="0.20181818181818181"/>
    <x v="2"/>
  </r>
  <r>
    <d v="2025-03-10T00:00:00"/>
    <s v="North"/>
    <s v="Direct"/>
    <n v="5350"/>
    <n v="267"/>
    <n v="870"/>
    <n v="4450"/>
    <n v="5083"/>
    <n v="5.8425287356321842"/>
    <n v="0.19550561797752808"/>
    <x v="2"/>
  </r>
  <r>
    <d v="2025-03-10T00:00:00"/>
    <s v="South"/>
    <s v="Social"/>
    <n v="4950"/>
    <n v="247"/>
    <n v="1120"/>
    <n v="5550"/>
    <n v="4703"/>
    <n v="4.1991071428571427"/>
    <n v="0.20180180180180179"/>
    <x v="2"/>
  </r>
  <r>
    <d v="2025-03-11T00:00:00"/>
    <s v="North"/>
    <s v="Direct"/>
    <n v="5400"/>
    <n v="270"/>
    <n v="880"/>
    <n v="4500"/>
    <n v="5130"/>
    <n v="5.8295454545454541"/>
    <n v="0.19555555555555557"/>
    <x v="2"/>
  </r>
  <r>
    <d v="2025-03-11T00:00:00"/>
    <s v="South"/>
    <s v="Social"/>
    <n v="5000"/>
    <n v="250"/>
    <n v="1130"/>
    <n v="5600"/>
    <n v="4750"/>
    <n v="4.2035398230088497"/>
    <n v="0.20178571428571429"/>
    <x v="2"/>
  </r>
  <r>
    <d v="2025-03-12T00:00:00"/>
    <s v="North"/>
    <s v="Direct"/>
    <n v="5450"/>
    <n v="272"/>
    <n v="890"/>
    <n v="4550"/>
    <n v="5178"/>
    <n v="5.8179775280898873"/>
    <n v="0.1956043956043956"/>
    <x v="2"/>
  </r>
  <r>
    <d v="2025-03-12T00:00:00"/>
    <s v="South"/>
    <s v="Social"/>
    <n v="5050"/>
    <n v="252"/>
    <n v="1140"/>
    <n v="5650"/>
    <n v="4798"/>
    <n v="4.2087719298245618"/>
    <n v="0.20176991150442478"/>
    <x v="2"/>
  </r>
  <r>
    <d v="2025-03-13T00:00:00"/>
    <s v="North"/>
    <s v="Direct"/>
    <n v="5500"/>
    <n v="275"/>
    <n v="900"/>
    <n v="4600"/>
    <n v="5225"/>
    <n v="5.8055555555555554"/>
    <n v="0.19565217391304349"/>
    <x v="2"/>
  </r>
  <r>
    <d v="2025-03-13T00:00:00"/>
    <s v="South"/>
    <s v="Social"/>
    <n v="5100"/>
    <n v="255"/>
    <n v="1150"/>
    <n v="5700"/>
    <n v="4845"/>
    <n v="4.2130434782608699"/>
    <n v="0.20175438596491227"/>
    <x v="2"/>
  </r>
  <r>
    <d v="2025-03-14T00:00:00"/>
    <s v="North"/>
    <s v="Direct"/>
    <n v="5550"/>
    <n v="277"/>
    <n v="910"/>
    <n v="4650"/>
    <n v="5273"/>
    <n v="5.7945054945054943"/>
    <n v="0.19569892473118281"/>
    <x v="2"/>
  </r>
  <r>
    <d v="2025-03-14T00:00:00"/>
    <s v="South"/>
    <s v="Social"/>
    <n v="5150"/>
    <n v="257"/>
    <n v="1160"/>
    <n v="5750"/>
    <n v="4893"/>
    <n v="4.2181034482758619"/>
    <n v="0.20173913043478262"/>
    <x v="2"/>
  </r>
  <r>
    <d v="2025-03-15T00:00:00"/>
    <s v="North"/>
    <s v="Direct"/>
    <n v="5600"/>
    <n v="280"/>
    <n v="920"/>
    <n v="4700"/>
    <n v="5320"/>
    <n v="5.7826086956521738"/>
    <n v="0.19574468085106383"/>
    <x v="2"/>
  </r>
  <r>
    <d v="2025-03-15T00:00:00"/>
    <s v="South"/>
    <s v="Social"/>
    <n v="5200"/>
    <n v="260"/>
    <n v="1170"/>
    <n v="5800"/>
    <n v="4940"/>
    <n v="4.2222222222222223"/>
    <n v="0.20172413793103447"/>
    <x v="2"/>
  </r>
  <r>
    <d v="2025-03-16T00:00:00"/>
    <s v="North"/>
    <s v="Direct"/>
    <n v="5650"/>
    <n v="282"/>
    <n v="930"/>
    <n v="4750"/>
    <n v="5368"/>
    <n v="5.7720430107526886"/>
    <n v="0.19578947368421051"/>
    <x v="2"/>
  </r>
  <r>
    <d v="2025-03-16T00:00:00"/>
    <s v="South"/>
    <s v="Social"/>
    <n v="5250"/>
    <n v="262"/>
    <n v="1180"/>
    <n v="5850"/>
    <n v="4988"/>
    <n v="4.2271186440677964"/>
    <n v="0.20170940170940171"/>
    <x v="2"/>
  </r>
  <r>
    <d v="2025-03-17T00:00:00"/>
    <s v="North"/>
    <s v="Direct"/>
    <n v="5700"/>
    <n v="285"/>
    <n v="940"/>
    <n v="4800"/>
    <n v="5415"/>
    <n v="5.7606382978723403"/>
    <n v="0.19583333333333333"/>
    <x v="2"/>
  </r>
  <r>
    <d v="2025-03-17T00:00:00"/>
    <s v="South"/>
    <s v="Social"/>
    <n v="5300"/>
    <n v="265"/>
    <n v="1190"/>
    <n v="5900"/>
    <n v="5035"/>
    <n v="4.23109243697479"/>
    <n v="0.2016949152542373"/>
    <x v="2"/>
  </r>
  <r>
    <d v="2025-03-18T00:00:00"/>
    <s v="North"/>
    <s v="Direct"/>
    <n v="5750"/>
    <n v="287"/>
    <n v="950"/>
    <n v="4850"/>
    <n v="5463"/>
    <n v="5.7505263157894735"/>
    <n v="0.19587628865979381"/>
    <x v="2"/>
  </r>
  <r>
    <d v="2025-03-18T00:00:00"/>
    <s v="South"/>
    <s v="Social"/>
    <n v="5350"/>
    <n v="267"/>
    <n v="1200"/>
    <n v="5950"/>
    <n v="5083"/>
    <n v="4.2358333333333329"/>
    <n v="0.20168067226890757"/>
    <x v="2"/>
  </r>
  <r>
    <d v="2025-03-19T00:00:00"/>
    <s v="North"/>
    <s v="Direct"/>
    <n v="5800"/>
    <n v="290"/>
    <n v="960"/>
    <n v="4900"/>
    <n v="5510"/>
    <n v="5.739583333333333"/>
    <n v="0.19591836734693877"/>
    <x v="2"/>
  </r>
  <r>
    <d v="2025-03-19T00:00:00"/>
    <s v="South"/>
    <s v="Social"/>
    <n v="5400"/>
    <n v="270"/>
    <n v="1210"/>
    <n v="6000"/>
    <n v="5130"/>
    <n v="4.2396694214876032"/>
    <n v="0.20166666666666666"/>
    <x v="2"/>
  </r>
  <r>
    <d v="2025-03-20T00:00:00"/>
    <s v="North"/>
    <s v="Direct"/>
    <n v="5850"/>
    <n v="292"/>
    <n v="970"/>
    <n v="4950"/>
    <n v="5558"/>
    <n v="5.7298969072164949"/>
    <n v="0.19595959595959597"/>
    <x v="2"/>
  </r>
  <r>
    <d v="2025-03-20T00:00:00"/>
    <s v="South"/>
    <s v="Social"/>
    <n v="5450"/>
    <n v="272"/>
    <n v="1220"/>
    <n v="6050"/>
    <n v="5178"/>
    <n v="4.2442622950819668"/>
    <n v="0.20165289256198346"/>
    <x v="2"/>
  </r>
  <r>
    <d v="2025-03-21T00:00:00"/>
    <s v="North"/>
    <s v="Direct"/>
    <n v="5900"/>
    <n v="295"/>
    <n v="980"/>
    <n v="5000"/>
    <n v="5605"/>
    <n v="5.7193877551020407"/>
    <n v="0.19600000000000001"/>
    <x v="2"/>
  </r>
  <r>
    <d v="2025-03-21T00:00:00"/>
    <s v="South"/>
    <s v="Social"/>
    <n v="5500"/>
    <n v="275"/>
    <n v="1230"/>
    <n v="6100"/>
    <n v="5225"/>
    <n v="4.2479674796747968"/>
    <n v="0.20163934426229507"/>
    <x v="2"/>
  </r>
  <r>
    <d v="2025-03-22T00:00:00"/>
    <s v="North"/>
    <s v="Direct"/>
    <n v="5950"/>
    <n v="297"/>
    <n v="990"/>
    <n v="5050"/>
    <n v="5653"/>
    <n v="5.7101010101010097"/>
    <n v="0.19603960396039605"/>
    <x v="2"/>
  </r>
  <r>
    <d v="2025-03-22T00:00:00"/>
    <s v="South"/>
    <s v="Social"/>
    <n v="5550"/>
    <n v="277"/>
    <n v="1240"/>
    <n v="6150"/>
    <n v="5273"/>
    <n v="4.2524193548387093"/>
    <n v="0.2016260162601626"/>
    <x v="2"/>
  </r>
  <r>
    <d v="2025-03-23T00:00:00"/>
    <s v="North"/>
    <s v="Direct"/>
    <n v="6000"/>
    <n v="300"/>
    <n v="1000"/>
    <n v="5100"/>
    <n v="5700"/>
    <n v="5.7"/>
    <n v="0.19607843137254902"/>
    <x v="2"/>
  </r>
  <r>
    <d v="2025-03-23T00:00:00"/>
    <s v="South"/>
    <s v="Social"/>
    <n v="5600"/>
    <n v="280"/>
    <n v="1250"/>
    <n v="6200"/>
    <n v="5320"/>
    <n v="4.2560000000000002"/>
    <n v="0.20161290322580644"/>
    <x v="2"/>
  </r>
  <r>
    <d v="2025-03-24T00:00:00"/>
    <s v="North"/>
    <s v="Direct"/>
    <n v="6050"/>
    <n v="302"/>
    <n v="1010"/>
    <n v="5150"/>
    <n v="5748"/>
    <n v="5.6910891089108908"/>
    <n v="0.19611650485436893"/>
    <x v="2"/>
  </r>
  <r>
    <d v="2025-03-24T00:00:00"/>
    <s v="South"/>
    <s v="Social"/>
    <n v="5650"/>
    <n v="282"/>
    <n v="1260"/>
    <n v="6250"/>
    <n v="5368"/>
    <n v="4.2603174603174603"/>
    <n v="0.2016"/>
    <x v="2"/>
  </r>
  <r>
    <d v="2025-03-25T00:00:00"/>
    <s v="North"/>
    <s v="Direct"/>
    <n v="6100"/>
    <n v="305"/>
    <n v="1020"/>
    <n v="5200"/>
    <n v="5795"/>
    <n v="5.6813725490196081"/>
    <n v="0.19615384615384615"/>
    <x v="2"/>
  </r>
  <r>
    <d v="2025-03-25T00:00:00"/>
    <s v="South"/>
    <s v="Social"/>
    <n v="5700"/>
    <n v="285"/>
    <n v="1270"/>
    <n v="6300"/>
    <n v="5415"/>
    <n v="4.2637795275590555"/>
    <n v="0.20158730158730159"/>
    <x v="2"/>
  </r>
  <r>
    <d v="2025-03-26T00:00:00"/>
    <s v="North"/>
    <s v="Direct"/>
    <n v="6150"/>
    <n v="307"/>
    <n v="1030"/>
    <n v="5250"/>
    <n v="5843"/>
    <n v="5.6728155339805824"/>
    <n v="0.19619047619047619"/>
    <x v="2"/>
  </r>
  <r>
    <d v="2025-03-26T00:00:00"/>
    <s v="South"/>
    <s v="Social"/>
    <n v="5750"/>
    <n v="287"/>
    <n v="1280"/>
    <n v="6350"/>
    <n v="5463"/>
    <n v="4.2679687499999996"/>
    <n v="0.2015748031496063"/>
    <x v="2"/>
  </r>
  <r>
    <d v="2025-03-27T00:00:00"/>
    <s v="North"/>
    <s v="Direct"/>
    <n v="6200"/>
    <n v="310"/>
    <n v="1040"/>
    <n v="5300"/>
    <n v="5890"/>
    <n v="5.6634615384615383"/>
    <n v="0.19622641509433963"/>
    <x v="2"/>
  </r>
  <r>
    <d v="2025-03-27T00:00:00"/>
    <s v="South"/>
    <s v="Social"/>
    <n v="5800"/>
    <n v="290"/>
    <n v="1290"/>
    <n v="6400"/>
    <n v="5510"/>
    <n v="4.2713178294573639"/>
    <n v="0.20156250000000001"/>
    <x v="2"/>
  </r>
  <r>
    <d v="2025-03-28T00:00:00"/>
    <s v="North"/>
    <s v="Direct"/>
    <n v="6250"/>
    <n v="312"/>
    <n v="1050"/>
    <n v="5350"/>
    <n v="5938"/>
    <n v="5.6552380952380954"/>
    <n v="0.19626168224299065"/>
    <x v="2"/>
  </r>
  <r>
    <d v="2025-03-28T00:00:00"/>
    <s v="South"/>
    <s v="Social"/>
    <n v="5850"/>
    <n v="292"/>
    <n v="1300"/>
    <n v="6450"/>
    <n v="5558"/>
    <n v="4.2753846153846151"/>
    <n v="0.20155038759689922"/>
    <x v="2"/>
  </r>
  <r>
    <d v="2025-03-29T00:00:00"/>
    <s v="North"/>
    <s v="Direct"/>
    <n v="6300"/>
    <n v="315"/>
    <n v="1060"/>
    <n v="5400"/>
    <n v="5985"/>
    <n v="5.6462264150943398"/>
    <n v="0.1962962962962963"/>
    <x v="2"/>
  </r>
  <r>
    <d v="2025-03-29T00:00:00"/>
    <s v="South"/>
    <s v="Social"/>
    <n v="5900"/>
    <n v="295"/>
    <n v="1310"/>
    <n v="6500"/>
    <n v="5605"/>
    <n v="4.278625954198473"/>
    <n v="0.20153846153846153"/>
    <x v="2"/>
  </r>
  <r>
    <d v="2025-03-30T00:00:00"/>
    <s v="North"/>
    <s v="Direct"/>
    <n v="6350"/>
    <n v="317"/>
    <n v="1070"/>
    <n v="5450"/>
    <n v="6033"/>
    <n v="5.6383177570093457"/>
    <n v="0.19633027522935781"/>
    <x v="2"/>
  </r>
  <r>
    <d v="2025-03-30T00:00:00"/>
    <s v="South"/>
    <s v="Social"/>
    <n v="5950"/>
    <n v="297"/>
    <n v="1320"/>
    <n v="6550"/>
    <n v="5653"/>
    <n v="4.2825757575757573"/>
    <n v="0.20152671755725191"/>
    <x v="2"/>
  </r>
  <r>
    <d v="2025-03-31T00:00:00"/>
    <s v="North"/>
    <s v="Direct"/>
    <n v="6400"/>
    <n v="320"/>
    <n v="1080"/>
    <n v="5500"/>
    <n v="6080"/>
    <n v="5.6296296296296298"/>
    <n v="0.19636363636363635"/>
    <x v="2"/>
  </r>
  <r>
    <d v="2025-03-31T00:00:00"/>
    <s v="South"/>
    <s v="Social"/>
    <n v="6000"/>
    <n v="300"/>
    <n v="1330"/>
    <n v="6600"/>
    <n v="5700"/>
    <n v="4.2857142857142856"/>
    <n v="0.20151515151515151"/>
    <x v="2"/>
  </r>
  <r>
    <d v="2025-04-01T00:00:00"/>
    <s v="North"/>
    <s v="Direct"/>
    <n v="6500"/>
    <n v="325"/>
    <n v="1100"/>
    <n v="5600"/>
    <n v="6175"/>
    <n v="5.6136363636363633"/>
    <n v="0.19642857142857142"/>
    <x v="3"/>
  </r>
  <r>
    <d v="2025-04-01T00:00:00"/>
    <s v="South"/>
    <s v="Social"/>
    <n v="6100"/>
    <n v="305"/>
    <n v="1400"/>
    <n v="6700"/>
    <n v="5795"/>
    <n v="4.1392857142857142"/>
    <n v="0.20895522388059701"/>
    <x v="3"/>
  </r>
  <r>
    <d v="2025-04-02T00:00:00"/>
    <s v="North"/>
    <s v="Direct"/>
    <n v="6600"/>
    <n v="330"/>
    <n v="1150"/>
    <n v="5700"/>
    <n v="6270"/>
    <n v="5.4521739130434783"/>
    <n v="0.20175438596491227"/>
    <x v="3"/>
  </r>
  <r>
    <d v="2025-04-02T00:00:00"/>
    <s v="South"/>
    <s v="Social"/>
    <n v="6200"/>
    <n v="310"/>
    <n v="1450"/>
    <n v="6800"/>
    <n v="5890"/>
    <n v="4.0620689655172413"/>
    <n v="0.21323529411764705"/>
    <x v="3"/>
  </r>
  <r>
    <d v="2025-04-03T00:00:00"/>
    <s v="North"/>
    <s v="Direct"/>
    <n v="6700"/>
    <n v="335"/>
    <n v="1200"/>
    <n v="5800"/>
    <n v="6365"/>
    <n v="5.3041666666666663"/>
    <n v="0.20689655172413793"/>
    <x v="3"/>
  </r>
  <r>
    <d v="2025-04-03T00:00:00"/>
    <s v="South"/>
    <s v="Social"/>
    <n v="6300"/>
    <n v="315"/>
    <n v="1500"/>
    <n v="6900"/>
    <n v="5985"/>
    <n v="3.99"/>
    <n v="0.21739130434782608"/>
    <x v="3"/>
  </r>
  <r>
    <d v="2025-04-04T00:00:00"/>
    <s v="North"/>
    <s v="Direct"/>
    <n v="6800"/>
    <n v="340"/>
    <n v="1250"/>
    <n v="5900"/>
    <n v="6460"/>
    <n v="5.1680000000000001"/>
    <n v="0.21186440677966101"/>
    <x v="3"/>
  </r>
  <r>
    <d v="2025-04-04T00:00:00"/>
    <s v="South"/>
    <s v="Social"/>
    <n v="6400"/>
    <n v="320"/>
    <n v="1550"/>
    <n v="7000"/>
    <n v="6080"/>
    <n v="3.9225806451612901"/>
    <n v="0.22142857142857142"/>
    <x v="3"/>
  </r>
  <r>
    <d v="2025-04-05T00:00:00"/>
    <s v="North"/>
    <s v="Direct"/>
    <n v="7500"/>
    <n v="375"/>
    <n v="1800"/>
    <n v="8000"/>
    <n v="7125"/>
    <n v="3.9583333333333335"/>
    <n v="0.22500000000000001"/>
    <x v="3"/>
  </r>
  <r>
    <d v="2025-04-05T00:00:00"/>
    <s v="South"/>
    <s v="Social"/>
    <n v="7100"/>
    <n v="355"/>
    <n v="2100"/>
    <n v="9100"/>
    <n v="6745"/>
    <n v="3.211904761904762"/>
    <n v="0.23076923076923078"/>
    <x v="3"/>
  </r>
  <r>
    <d v="2025-04-06T00:00:00"/>
    <s v="North"/>
    <s v="Direct"/>
    <n v="8000"/>
    <n v="400"/>
    <n v="2200"/>
    <n v="10000"/>
    <n v="7600"/>
    <n v="3.4545454545454546"/>
    <n v="0.22"/>
    <x v="3"/>
  </r>
  <r>
    <d v="2025-04-06T00:00:00"/>
    <s v="South"/>
    <s v="Social"/>
    <n v="7600"/>
    <n v="380"/>
    <n v="2500"/>
    <n v="11000"/>
    <n v="7220"/>
    <n v="2.8879999999999999"/>
    <n v="0.22727272727272727"/>
    <x v="3"/>
  </r>
  <r>
    <d v="2025-04-07T00:00:00"/>
    <s v="North"/>
    <s v="Direct"/>
    <n v="8500"/>
    <n v="425"/>
    <n v="2500"/>
    <n v="12000"/>
    <n v="8075"/>
    <n v="3.23"/>
    <n v="0.20833333333333334"/>
    <x v="3"/>
  </r>
  <r>
    <d v="2025-04-07T00:00:00"/>
    <s v="South"/>
    <s v="Social"/>
    <n v="8100"/>
    <n v="405"/>
    <n v="2800"/>
    <n v="13000"/>
    <n v="7695"/>
    <n v="2.7482142857142855"/>
    <n v="0.2153846153846154"/>
    <x v="3"/>
  </r>
  <r>
    <d v="2025-04-08T00:00:00"/>
    <s v="North"/>
    <s v="Direct"/>
    <n v="9200"/>
    <n v="460"/>
    <n v="2800"/>
    <n v="13000"/>
    <n v="8740"/>
    <n v="3.1214285714285714"/>
    <n v="0.2153846153846154"/>
    <x v="3"/>
  </r>
  <r>
    <d v="2025-04-08T00:00:00"/>
    <s v="South"/>
    <s v="Social"/>
    <n v="8800"/>
    <n v="440"/>
    <n v="3100"/>
    <n v="14500"/>
    <n v="8360"/>
    <n v="2.6967741935483871"/>
    <n v="0.21379310344827587"/>
    <x v="3"/>
  </r>
  <r>
    <d v="2025-04-09T00:00:00"/>
    <s v="North"/>
    <s v="Direct"/>
    <n v="9500"/>
    <n v="475"/>
    <n v="3000"/>
    <n v="14000"/>
    <n v="9025"/>
    <n v="3.0083333333333333"/>
    <n v="0.21428571428571427"/>
    <x v="3"/>
  </r>
  <r>
    <d v="2025-04-09T00:00:00"/>
    <s v="South"/>
    <s v="Social"/>
    <n v="9100"/>
    <n v="455"/>
    <n v="3300"/>
    <n v="15500"/>
    <n v="8645"/>
    <n v="2.6196969696969696"/>
    <n v="0.2129032258064516"/>
    <x v="3"/>
  </r>
  <r>
    <d v="2025-04-10T00:00:00"/>
    <s v="North"/>
    <s v="Direct"/>
    <n v="10500"/>
    <n v="525"/>
    <n v="3500"/>
    <n v="15000"/>
    <n v="9975"/>
    <n v="2.85"/>
    <n v="0.23333333333333334"/>
    <x v="3"/>
  </r>
  <r>
    <d v="2025-04-10T00:00:00"/>
    <s v="South"/>
    <s v="Social"/>
    <n v="9800"/>
    <n v="490"/>
    <n v="3800"/>
    <n v="16500"/>
    <n v="9310"/>
    <n v="2.4500000000000002"/>
    <n v="0.23030303030303031"/>
    <x v="3"/>
  </r>
  <r>
    <d v="2025-04-11T00:00:00"/>
    <s v="North"/>
    <s v="Direct"/>
    <n v="11000"/>
    <n v="550"/>
    <n v="3600"/>
    <n v="15500"/>
    <n v="10450"/>
    <n v="2.9027777777777777"/>
    <n v="0.23225806451612904"/>
    <x v="3"/>
  </r>
  <r>
    <d v="2025-04-11T00:00:00"/>
    <s v="South"/>
    <s v="Social"/>
    <n v="10200"/>
    <n v="510"/>
    <n v="4000"/>
    <n v="17000"/>
    <n v="9690"/>
    <n v="2.4224999999999999"/>
    <n v="0.23529411764705882"/>
    <x v="3"/>
  </r>
  <r>
    <d v="2025-04-12T00:00:00"/>
    <s v="North"/>
    <s v="Direct"/>
    <n v="11500"/>
    <n v="575"/>
    <n v="3800"/>
    <n v="16000"/>
    <n v="10925"/>
    <n v="2.875"/>
    <n v="0.23749999999999999"/>
    <x v="3"/>
  </r>
  <r>
    <d v="2025-04-12T00:00:00"/>
    <s v="South"/>
    <s v="Social"/>
    <n v="10500"/>
    <n v="525"/>
    <n v="4200"/>
    <n v="17500"/>
    <n v="9975"/>
    <n v="2.375"/>
    <n v="0.24"/>
    <x v="3"/>
  </r>
  <r>
    <d v="2025-04-13T00:00:00"/>
    <s v="North"/>
    <s v="Direct"/>
    <n v="9000"/>
    <n v="450"/>
    <n v="3000"/>
    <n v="14000"/>
    <n v="8550"/>
    <n v="2.85"/>
    <n v="0.21428571428571427"/>
    <x v="3"/>
  </r>
  <r>
    <d v="2025-04-13T00:00:00"/>
    <s v="South"/>
    <s v="Social"/>
    <n v="8500"/>
    <n v="425"/>
    <n v="3500"/>
    <n v="15000"/>
    <n v="8075"/>
    <n v="2.3071428571428569"/>
    <n v="0.23333333333333334"/>
    <x v="3"/>
  </r>
  <r>
    <d v="2025-04-14T00:00:00"/>
    <s v="North"/>
    <s v="Direct"/>
    <n v="8000"/>
    <n v="400"/>
    <n v="2500"/>
    <n v="12000"/>
    <n v="7600"/>
    <n v="3.04"/>
    <n v="0.20833333333333334"/>
    <x v="3"/>
  </r>
  <r>
    <d v="2025-04-14T00:00:00"/>
    <s v="South"/>
    <s v="Social"/>
    <n v="7500"/>
    <n v="375"/>
    <n v="3000"/>
    <n v="13000"/>
    <n v="7125"/>
    <n v="2.375"/>
    <n v="0.23076923076923078"/>
    <x v="3"/>
  </r>
  <r>
    <d v="2025-04-15T00:00:00"/>
    <s v="North"/>
    <s v="Direct"/>
    <n v="7000"/>
    <n v="350"/>
    <n v="2000"/>
    <n v="10000"/>
    <n v="6650"/>
    <n v="3.3250000000000002"/>
    <n v="0.2"/>
    <x v="3"/>
  </r>
  <r>
    <d v="2025-04-15T00:00:00"/>
    <s v="South"/>
    <s v="Social"/>
    <n v="6500"/>
    <n v="325"/>
    <n v="2500"/>
    <n v="11000"/>
    <n v="6175"/>
    <n v="2.4700000000000002"/>
    <n v="0.22727272727272727"/>
    <x v="3"/>
  </r>
  <r>
    <d v="2025-04-16T00:00:00"/>
    <s v="North"/>
    <s v="Direct"/>
    <n v="6500"/>
    <n v="325"/>
    <n v="1500"/>
    <n v="8000"/>
    <n v="6175"/>
    <n v="4.1166666666666663"/>
    <n v="0.1875"/>
    <x v="3"/>
  </r>
  <r>
    <d v="2025-04-16T00:00:00"/>
    <s v="South"/>
    <s v="Social"/>
    <n v="6100"/>
    <n v="305"/>
    <n v="2000"/>
    <n v="9000"/>
    <n v="5795"/>
    <n v="2.8975"/>
    <n v="0.22222222222222221"/>
    <x v="3"/>
  </r>
  <r>
    <d v="2025-04-17T00:00:00"/>
    <s v="North"/>
    <s v="Direct"/>
    <n v="6000"/>
    <n v="300"/>
    <n v="1200"/>
    <n v="6000"/>
    <n v="5700"/>
    <n v="4.75"/>
    <n v="0.2"/>
    <x v="3"/>
  </r>
  <r>
    <d v="2025-04-17T00:00:00"/>
    <s v="South"/>
    <s v="Social"/>
    <n v="5600"/>
    <n v="280"/>
    <n v="1500"/>
    <n v="7000"/>
    <n v="5320"/>
    <n v="3.5466666666666669"/>
    <n v="0.21428571428571427"/>
    <x v="3"/>
  </r>
  <r>
    <d v="2025-04-18T00:00:00"/>
    <s v="North"/>
    <s v="Direct"/>
    <n v="5800"/>
    <n v="290"/>
    <n v="1100"/>
    <n v="5800"/>
    <n v="5510"/>
    <n v="5.0090909090909088"/>
    <n v="0.18965517241379309"/>
    <x v="3"/>
  </r>
  <r>
    <d v="2025-04-18T00:00:00"/>
    <s v="South"/>
    <s v="Social"/>
    <n v="5400"/>
    <n v="270"/>
    <n v="1400"/>
    <n v="6800"/>
    <n v="5130"/>
    <n v="3.6642857142857141"/>
    <n v="0.20588235294117646"/>
    <x v="3"/>
  </r>
  <r>
    <d v="2025-04-19T00:00:00"/>
    <s v="North"/>
    <s v="Direct"/>
    <n v="5700"/>
    <n v="285"/>
    <n v="1050"/>
    <n v="5700"/>
    <n v="5415"/>
    <n v="5.1571428571428575"/>
    <n v="0.18421052631578946"/>
    <x v="3"/>
  </r>
  <r>
    <d v="2025-04-19T00:00:00"/>
    <s v="South"/>
    <s v="Social"/>
    <n v="5300"/>
    <n v="265"/>
    <n v="1350"/>
    <n v="6700"/>
    <n v="5035"/>
    <n v="3.7296296296296299"/>
    <n v="0.20149253731343283"/>
    <x v="3"/>
  </r>
  <r>
    <d v="2025-04-20T00:00:00"/>
    <s v="North"/>
    <s v="Direct"/>
    <n v="5600"/>
    <n v="280"/>
    <n v="1000"/>
    <n v="5600"/>
    <n v="5320"/>
    <n v="5.32"/>
    <n v="0.17857142857142858"/>
    <x v="3"/>
  </r>
  <r>
    <d v="2025-04-20T00:00:00"/>
    <s v="South"/>
    <s v="Social"/>
    <n v="5200"/>
    <n v="260"/>
    <n v="1300"/>
    <n v="6600"/>
    <n v="4940"/>
    <n v="3.8"/>
    <n v="0.19696969696969696"/>
    <x v="3"/>
  </r>
  <r>
    <d v="2025-04-21T00:00:00"/>
    <s v="North"/>
    <s v="Direct"/>
    <n v="5500"/>
    <n v="275"/>
    <n v="980"/>
    <n v="5500"/>
    <n v="5225"/>
    <n v="5.3316326530612246"/>
    <n v="0.17818181818181819"/>
    <x v="3"/>
  </r>
  <r>
    <d v="2025-04-21T00:00:00"/>
    <s v="South"/>
    <s v="Social"/>
    <n v="5100"/>
    <n v="255"/>
    <n v="1280"/>
    <n v="6500"/>
    <n v="4845"/>
    <n v="3.78515625"/>
    <n v="0.19692307692307692"/>
    <x v="3"/>
  </r>
  <r>
    <d v="2025-04-22T00:00:00"/>
    <s v="North"/>
    <s v="Direct"/>
    <n v="5400"/>
    <n v="270"/>
    <n v="960"/>
    <n v="5400"/>
    <n v="5130"/>
    <n v="5.34375"/>
    <n v="0.17777777777777778"/>
    <x v="3"/>
  </r>
  <r>
    <d v="2025-04-22T00:00:00"/>
    <s v="South"/>
    <s v="Social"/>
    <n v="5000"/>
    <n v="250"/>
    <n v="1260"/>
    <n v="6400"/>
    <n v="4750"/>
    <n v="3.7698412698412698"/>
    <n v="0.19687499999999999"/>
    <x v="3"/>
  </r>
  <r>
    <d v="2025-04-23T00:00:00"/>
    <s v="North"/>
    <s v="Direct"/>
    <n v="5300"/>
    <n v="265"/>
    <n v="940"/>
    <n v="5300"/>
    <n v="5035"/>
    <n v="5.3563829787234045"/>
    <n v="0.17735849056603772"/>
    <x v="3"/>
  </r>
  <r>
    <d v="2025-04-23T00:00:00"/>
    <s v="South"/>
    <s v="Social"/>
    <n v="4900"/>
    <n v="245"/>
    <n v="1240"/>
    <n v="6300"/>
    <n v="4655"/>
    <n v="3.754032258064516"/>
    <n v="0.19682539682539682"/>
    <x v="3"/>
  </r>
  <r>
    <d v="2025-04-24T00:00:00"/>
    <s v="North"/>
    <s v="Direct"/>
    <n v="5200"/>
    <n v="260"/>
    <n v="920"/>
    <n v="5200"/>
    <n v="4940"/>
    <n v="5.3695652173913047"/>
    <n v="0.17692307692307693"/>
    <x v="3"/>
  </r>
  <r>
    <d v="2025-04-24T00:00:00"/>
    <s v="South"/>
    <s v="Social"/>
    <n v="4800"/>
    <n v="240"/>
    <n v="1220"/>
    <n v="6200"/>
    <n v="4560"/>
    <n v="3.737704918032787"/>
    <n v="0.1967741935483871"/>
    <x v="3"/>
  </r>
  <r>
    <d v="2025-04-25T00:00:00"/>
    <s v="North"/>
    <s v="Direct"/>
    <n v="5100"/>
    <n v="255"/>
    <n v="900"/>
    <n v="5100"/>
    <n v="4845"/>
    <n v="5.3833333333333337"/>
    <n v="0.17647058823529413"/>
    <x v="3"/>
  </r>
  <r>
    <d v="2025-04-25T00:00:00"/>
    <s v="South"/>
    <s v="Social"/>
    <n v="4700"/>
    <n v="235"/>
    <n v="1200"/>
    <n v="6100"/>
    <n v="4465"/>
    <n v="3.7208333333333332"/>
    <n v="0.19672131147540983"/>
    <x v="3"/>
  </r>
  <r>
    <d v="2025-04-26T00:00:00"/>
    <s v="North"/>
    <s v="Direct"/>
    <n v="5000"/>
    <n v="250"/>
    <n v="880"/>
    <n v="5000"/>
    <n v="4750"/>
    <n v="5.3977272727272725"/>
    <n v="0.17599999999999999"/>
    <x v="3"/>
  </r>
  <r>
    <d v="2025-04-26T00:00:00"/>
    <s v="South"/>
    <s v="Social"/>
    <n v="4600"/>
    <n v="230"/>
    <n v="1180"/>
    <n v="6000"/>
    <n v="4370"/>
    <n v="3.7033898305084745"/>
    <n v="0.19666666666666666"/>
    <x v="3"/>
  </r>
  <r>
    <d v="2025-04-27T00:00:00"/>
    <s v="North"/>
    <s v="Direct"/>
    <n v="4900"/>
    <n v="245"/>
    <n v="860"/>
    <n v="4900"/>
    <n v="4655"/>
    <n v="5.4127906976744189"/>
    <n v="0.17551020408163265"/>
    <x v="3"/>
  </r>
  <r>
    <d v="2025-04-27T00:00:00"/>
    <s v="South"/>
    <s v="Social"/>
    <n v="4500"/>
    <n v="225"/>
    <n v="1160"/>
    <n v="5900"/>
    <n v="4275"/>
    <n v="3.6853448275862069"/>
    <n v="0.19661016949152543"/>
    <x v="3"/>
  </r>
  <r>
    <d v="2025-04-28T00:00:00"/>
    <s v="North"/>
    <s v="Direct"/>
    <n v="4800"/>
    <n v="240"/>
    <n v="840"/>
    <n v="4800"/>
    <n v="4560"/>
    <n v="5.4285714285714288"/>
    <n v="0.17499999999999999"/>
    <x v="3"/>
  </r>
  <r>
    <d v="2025-04-28T00:00:00"/>
    <s v="South"/>
    <s v="Social"/>
    <n v="4400"/>
    <n v="220"/>
    <n v="1140"/>
    <n v="5800"/>
    <n v="4180"/>
    <n v="3.6666666666666665"/>
    <n v="0.19655172413793104"/>
    <x v="3"/>
  </r>
  <r>
    <d v="2025-04-29T00:00:00"/>
    <s v="North"/>
    <s v="Direct"/>
    <n v="4700"/>
    <n v="235"/>
    <n v="820"/>
    <n v="4700"/>
    <n v="4465"/>
    <n v="5.4451219512195124"/>
    <n v="0.17446808510638298"/>
    <x v="3"/>
  </r>
  <r>
    <d v="2025-04-29T00:00:00"/>
    <s v="South"/>
    <s v="Social"/>
    <n v="4300"/>
    <n v="215"/>
    <n v="1120"/>
    <n v="5700"/>
    <n v="4085"/>
    <n v="3.6473214285714284"/>
    <n v="0.19649122807017544"/>
    <x v="3"/>
  </r>
  <r>
    <d v="2025-04-30T00:00:00"/>
    <s v="North"/>
    <s v="Direct"/>
    <n v="4600"/>
    <n v="230"/>
    <n v="800"/>
    <n v="4600"/>
    <n v="4370"/>
    <n v="5.4625000000000004"/>
    <n v="0.17391304347826086"/>
    <x v="3"/>
  </r>
  <r>
    <d v="2025-04-30T00:00:00"/>
    <s v="South"/>
    <s v="Social"/>
    <n v="4200"/>
    <n v="210"/>
    <n v="1100"/>
    <n v="5600"/>
    <n v="3990"/>
    <n v="3.6272727272727274"/>
    <n v="0.19642857142857142"/>
    <x v="3"/>
  </r>
  <r>
    <d v="2025-05-01T00:00:00"/>
    <s v="North"/>
    <s v="Direct"/>
    <n v="4700"/>
    <n v="235"/>
    <n v="800"/>
    <n v="4700"/>
    <n v="4465"/>
    <n v="5.5812499999999998"/>
    <n v="0.1702127659574468"/>
    <x v="4"/>
  </r>
  <r>
    <d v="2025-05-01T00:00:00"/>
    <s v="South"/>
    <s v="Social"/>
    <n v="4300"/>
    <n v="215"/>
    <n v="1100"/>
    <n v="5700"/>
    <n v="4085"/>
    <n v="3.7136363636363638"/>
    <n v="0.19298245614035087"/>
    <x v="4"/>
  </r>
  <r>
    <d v="2025-05-02T00:00:00"/>
    <s v="North"/>
    <s v="Direct"/>
    <n v="4750"/>
    <n v="237"/>
    <n v="810"/>
    <n v="4750"/>
    <n v="4513"/>
    <n v="5.5716049382716051"/>
    <n v="0.17052631578947369"/>
    <x v="4"/>
  </r>
  <r>
    <d v="2025-05-02T00:00:00"/>
    <s v="South"/>
    <s v="Social"/>
    <n v="4350"/>
    <n v="217"/>
    <n v="1110"/>
    <n v="5750"/>
    <n v="4133"/>
    <n v="3.7234234234234234"/>
    <n v="0.19304347826086957"/>
    <x v="4"/>
  </r>
  <r>
    <d v="2025-05-03T00:00:00"/>
    <s v="North"/>
    <s v="Direct"/>
    <n v="4800"/>
    <n v="240"/>
    <n v="820"/>
    <n v="4800"/>
    <n v="4560"/>
    <n v="5.5609756097560972"/>
    <n v="0.17083333333333334"/>
    <x v="4"/>
  </r>
  <r>
    <d v="2025-05-03T00:00:00"/>
    <s v="South"/>
    <s v="Social"/>
    <n v="4400"/>
    <n v="220"/>
    <n v="1120"/>
    <n v="5800"/>
    <n v="4180"/>
    <n v="3.7321428571428572"/>
    <n v="0.19310344827586207"/>
    <x v="4"/>
  </r>
  <r>
    <d v="2025-05-04T00:00:00"/>
    <s v="North"/>
    <s v="Direct"/>
    <n v="4850"/>
    <n v="242"/>
    <n v="830"/>
    <n v="4850"/>
    <n v="4608"/>
    <n v="5.5518072289156626"/>
    <n v="0.1711340206185567"/>
    <x v="4"/>
  </r>
  <r>
    <d v="2025-05-04T00:00:00"/>
    <s v="South"/>
    <s v="Social"/>
    <n v="4450"/>
    <n v="222"/>
    <n v="1130"/>
    <n v="5850"/>
    <n v="4228"/>
    <n v="3.7415929203539822"/>
    <n v="0.19316239316239317"/>
    <x v="4"/>
  </r>
  <r>
    <d v="2025-05-05T00:00:00"/>
    <s v="North"/>
    <s v="Direct"/>
    <n v="4900"/>
    <n v="245"/>
    <n v="840"/>
    <n v="4900"/>
    <n v="4655"/>
    <n v="5.541666666666667"/>
    <n v="0.17142857142857143"/>
    <x v="4"/>
  </r>
  <r>
    <d v="2025-05-05T00:00:00"/>
    <s v="South"/>
    <s v="Social"/>
    <n v="4500"/>
    <n v="225"/>
    <n v="1140"/>
    <n v="5900"/>
    <n v="4275"/>
    <n v="3.75"/>
    <n v="0.19322033898305085"/>
    <x v="4"/>
  </r>
  <r>
    <d v="2025-05-06T00:00:00"/>
    <s v="North"/>
    <s v="Direct"/>
    <n v="4950"/>
    <n v="247"/>
    <n v="850"/>
    <n v="4950"/>
    <n v="4703"/>
    <n v="5.5329411764705885"/>
    <n v="0.17171717171717171"/>
    <x v="4"/>
  </r>
  <r>
    <d v="2025-05-06T00:00:00"/>
    <s v="South"/>
    <s v="Social"/>
    <n v="4550"/>
    <n v="227"/>
    <n v="1150"/>
    <n v="5950"/>
    <n v="4323"/>
    <n v="3.7591304347826089"/>
    <n v="0.19327731092436976"/>
    <x v="4"/>
  </r>
  <r>
    <d v="2025-05-07T00:00:00"/>
    <s v="North"/>
    <s v="Direct"/>
    <n v="5000"/>
    <n v="250"/>
    <n v="860"/>
    <n v="5000"/>
    <n v="4750"/>
    <n v="5.5232558139534884"/>
    <n v="0.17199999999999999"/>
    <x v="4"/>
  </r>
  <r>
    <d v="2025-05-07T00:00:00"/>
    <s v="South"/>
    <s v="Social"/>
    <n v="4600"/>
    <n v="230"/>
    <n v="1160"/>
    <n v="6000"/>
    <n v="4370"/>
    <n v="3.7672413793103448"/>
    <n v="0.19333333333333333"/>
    <x v="4"/>
  </r>
  <r>
    <d v="2025-05-08T00:00:00"/>
    <s v="North"/>
    <s v="Direct"/>
    <n v="5050"/>
    <n v="252"/>
    <n v="870"/>
    <n v="5050"/>
    <n v="4798"/>
    <n v="5.5149425287356326"/>
    <n v="0.17227722772277226"/>
    <x v="4"/>
  </r>
  <r>
    <d v="2025-05-08T00:00:00"/>
    <s v="South"/>
    <s v="Social"/>
    <n v="4650"/>
    <n v="232"/>
    <n v="1170"/>
    <n v="6050"/>
    <n v="4418"/>
    <n v="3.776068376068376"/>
    <n v="0.1933884297520661"/>
    <x v="4"/>
  </r>
  <r>
    <d v="2025-05-09T00:00:00"/>
    <s v="North"/>
    <s v="Direct"/>
    <n v="5100"/>
    <n v="255"/>
    <n v="880"/>
    <n v="5100"/>
    <n v="4845"/>
    <n v="5.5056818181818183"/>
    <n v="0.17254901960784313"/>
    <x v="4"/>
  </r>
  <r>
    <d v="2025-05-09T00:00:00"/>
    <s v="South"/>
    <s v="Social"/>
    <n v="4700"/>
    <n v="235"/>
    <n v="1180"/>
    <n v="6100"/>
    <n v="4465"/>
    <n v="3.7838983050847457"/>
    <n v="0.19344262295081968"/>
    <x v="4"/>
  </r>
  <r>
    <d v="2025-05-10T00:00:00"/>
    <s v="North"/>
    <s v="Direct"/>
    <n v="5150"/>
    <n v="257"/>
    <n v="890"/>
    <n v="5150"/>
    <n v="4893"/>
    <n v="5.4977528089887642"/>
    <n v="0.17281553398058253"/>
    <x v="4"/>
  </r>
  <r>
    <d v="2025-05-10T00:00:00"/>
    <s v="South"/>
    <s v="Social"/>
    <n v="4750"/>
    <n v="237"/>
    <n v="1190"/>
    <n v="6150"/>
    <n v="4513"/>
    <n v="3.7924369747899158"/>
    <n v="0.19349593495934958"/>
    <x v="4"/>
  </r>
  <r>
    <d v="2025-05-11T00:00:00"/>
    <s v="North"/>
    <s v="Direct"/>
    <n v="5200"/>
    <n v="260"/>
    <n v="900"/>
    <n v="5200"/>
    <n v="4940"/>
    <n v="5.4888888888888889"/>
    <n v="0.17307692307692307"/>
    <x v="4"/>
  </r>
  <r>
    <d v="2025-05-11T00:00:00"/>
    <s v="South"/>
    <s v="Social"/>
    <n v="4800"/>
    <n v="240"/>
    <n v="1200"/>
    <n v="6200"/>
    <n v="4560"/>
    <n v="3.8"/>
    <n v="0.19354838709677419"/>
    <x v="4"/>
  </r>
  <r>
    <d v="2025-05-12T00:00:00"/>
    <s v="North"/>
    <s v="Direct"/>
    <n v="5250"/>
    <n v="262"/>
    <n v="910"/>
    <n v="5250"/>
    <n v="4988"/>
    <n v="5.4813186813186814"/>
    <n v="0.17333333333333334"/>
    <x v="4"/>
  </r>
  <r>
    <d v="2025-05-12T00:00:00"/>
    <s v="South"/>
    <s v="Social"/>
    <n v="4850"/>
    <n v="242"/>
    <n v="1210"/>
    <n v="6250"/>
    <n v="4608"/>
    <n v="3.8082644628099174"/>
    <n v="0.19359999999999999"/>
    <x v="4"/>
  </r>
  <r>
    <d v="2025-05-13T00:00:00"/>
    <s v="North"/>
    <s v="Direct"/>
    <n v="5300"/>
    <n v="265"/>
    <n v="920"/>
    <n v="5300"/>
    <n v="5035"/>
    <n v="5.4728260869565215"/>
    <n v="0.17358490566037735"/>
    <x v="4"/>
  </r>
  <r>
    <d v="2025-05-13T00:00:00"/>
    <s v="South"/>
    <s v="Social"/>
    <n v="4900"/>
    <n v="245"/>
    <n v="1220"/>
    <n v="6300"/>
    <n v="4655"/>
    <n v="3.8155737704918034"/>
    <n v="0.19365079365079366"/>
    <x v="4"/>
  </r>
  <r>
    <d v="2025-05-14T00:00:00"/>
    <s v="North"/>
    <s v="Direct"/>
    <n v="5350"/>
    <n v="267"/>
    <n v="930"/>
    <n v="5350"/>
    <n v="5083"/>
    <n v="5.4655913978494626"/>
    <n v="0.17383177570093458"/>
    <x v="4"/>
  </r>
  <r>
    <d v="2025-05-14T00:00:00"/>
    <s v="South"/>
    <s v="Social"/>
    <n v="4950"/>
    <n v="247"/>
    <n v="1230"/>
    <n v="6350"/>
    <n v="4703"/>
    <n v="3.8235772357723579"/>
    <n v="0.19370078740157481"/>
    <x v="4"/>
  </r>
  <r>
    <d v="2025-05-15T00:00:00"/>
    <s v="North"/>
    <s v="Direct"/>
    <n v="5400"/>
    <n v="270"/>
    <n v="940"/>
    <n v="5400"/>
    <n v="5130"/>
    <n v="5.457446808510638"/>
    <n v="0.17407407407407408"/>
    <x v="4"/>
  </r>
  <r>
    <d v="2025-05-15T00:00:00"/>
    <s v="South"/>
    <s v="Social"/>
    <n v="5000"/>
    <n v="250"/>
    <n v="1240"/>
    <n v="6400"/>
    <n v="4750"/>
    <n v="3.8306451612903225"/>
    <n v="0.19375000000000001"/>
    <x v="4"/>
  </r>
  <r>
    <d v="2025-05-16T00:00:00"/>
    <s v="North"/>
    <s v="Direct"/>
    <n v="5450"/>
    <n v="272"/>
    <n v="950"/>
    <n v="5450"/>
    <n v="5178"/>
    <n v="5.4505263157894737"/>
    <n v="0.1743119266055046"/>
    <x v="4"/>
  </r>
  <r>
    <d v="2025-05-16T00:00:00"/>
    <s v="South"/>
    <s v="Social"/>
    <n v="5050"/>
    <n v="252"/>
    <n v="1250"/>
    <n v="6450"/>
    <n v="4798"/>
    <n v="3.8384"/>
    <n v="0.19379844961240311"/>
    <x v="4"/>
  </r>
  <r>
    <d v="2025-05-17T00:00:00"/>
    <s v="North"/>
    <s v="Direct"/>
    <n v="5500"/>
    <n v="275"/>
    <n v="960"/>
    <n v="5500"/>
    <n v="5225"/>
    <n v="5.442708333333333"/>
    <n v="0.17454545454545456"/>
    <x v="4"/>
  </r>
  <r>
    <d v="2025-05-17T00:00:00"/>
    <s v="South"/>
    <s v="Social"/>
    <n v="5100"/>
    <n v="255"/>
    <n v="1260"/>
    <n v="6500"/>
    <n v="4845"/>
    <n v="3.8452380952380953"/>
    <n v="0.19384615384615383"/>
    <x v="4"/>
  </r>
  <r>
    <d v="2025-05-18T00:00:00"/>
    <s v="North"/>
    <s v="Direct"/>
    <n v="5550"/>
    <n v="277"/>
    <n v="970"/>
    <n v="5550"/>
    <n v="5273"/>
    <n v="5.4360824742268044"/>
    <n v="0.17477477477477477"/>
    <x v="4"/>
  </r>
  <r>
    <d v="2025-05-18T00:00:00"/>
    <s v="South"/>
    <s v="Social"/>
    <n v="5150"/>
    <n v="257"/>
    <n v="1270"/>
    <n v="6550"/>
    <n v="4893"/>
    <n v="3.852755905511811"/>
    <n v="0.19389312977099238"/>
    <x v="4"/>
  </r>
  <r>
    <d v="2025-05-19T00:00:00"/>
    <s v="North"/>
    <s v="Direct"/>
    <n v="5600"/>
    <n v="280"/>
    <n v="980"/>
    <n v="5600"/>
    <n v="5320"/>
    <n v="5.4285714285714288"/>
    <n v="0.17499999999999999"/>
    <x v="4"/>
  </r>
  <r>
    <d v="2025-05-19T00:00:00"/>
    <s v="South"/>
    <s v="Social"/>
    <n v="5200"/>
    <n v="260"/>
    <n v="1280"/>
    <n v="6600"/>
    <n v="4940"/>
    <n v="3.859375"/>
    <n v="0.19393939393939394"/>
    <x v="4"/>
  </r>
  <r>
    <d v="2025-05-20T00:00:00"/>
    <s v="North"/>
    <s v="Direct"/>
    <n v="5650"/>
    <n v="282"/>
    <n v="990"/>
    <n v="5650"/>
    <n v="5368"/>
    <n v="5.4222222222222225"/>
    <n v="0.17522123893805311"/>
    <x v="4"/>
  </r>
  <r>
    <d v="2025-05-20T00:00:00"/>
    <s v="South"/>
    <s v="Social"/>
    <n v="5250"/>
    <n v="262"/>
    <n v="1290"/>
    <n v="6650"/>
    <n v="4988"/>
    <n v="3.8666666666666667"/>
    <n v="0.19398496240601504"/>
    <x v="4"/>
  </r>
  <r>
    <d v="2025-05-21T00:00:00"/>
    <s v="North"/>
    <s v="Direct"/>
    <n v="5700"/>
    <n v="285"/>
    <n v="1000"/>
    <n v="5700"/>
    <n v="5415"/>
    <n v="5.415"/>
    <n v="0.17543859649122806"/>
    <x v="4"/>
  </r>
  <r>
    <d v="2025-05-21T00:00:00"/>
    <s v="South"/>
    <s v="Social"/>
    <n v="5300"/>
    <n v="265"/>
    <n v="1300"/>
    <n v="6700"/>
    <n v="5035"/>
    <n v="3.8730769230769231"/>
    <n v="0.19402985074626866"/>
    <x v="4"/>
  </r>
  <r>
    <d v="2025-05-22T00:00:00"/>
    <s v="North"/>
    <s v="Direct"/>
    <n v="5750"/>
    <n v="287"/>
    <n v="1010"/>
    <n v="5750"/>
    <n v="5463"/>
    <n v="5.4089108910891088"/>
    <n v="0.17565217391304347"/>
    <x v="4"/>
  </r>
  <r>
    <d v="2025-05-22T00:00:00"/>
    <s v="South"/>
    <s v="Social"/>
    <n v="5350"/>
    <n v="267"/>
    <n v="1310"/>
    <n v="6750"/>
    <n v="5083"/>
    <n v="3.8801526717557251"/>
    <n v="0.19407407407407407"/>
    <x v="4"/>
  </r>
  <r>
    <d v="2025-05-23T00:00:00"/>
    <s v="North"/>
    <s v="Direct"/>
    <n v="5800"/>
    <n v="290"/>
    <n v="1020"/>
    <n v="5800"/>
    <n v="5510"/>
    <n v="5.4019607843137258"/>
    <n v="0.17586206896551723"/>
    <x v="4"/>
  </r>
  <r>
    <d v="2025-05-23T00:00:00"/>
    <s v="South"/>
    <s v="Social"/>
    <n v="5400"/>
    <n v="270"/>
    <n v="1320"/>
    <n v="6800"/>
    <n v="5130"/>
    <n v="3.8863636363636362"/>
    <n v="0.19411764705882353"/>
    <x v="4"/>
  </r>
  <r>
    <d v="2025-05-24T00:00:00"/>
    <s v="North"/>
    <s v="Direct"/>
    <n v="5850"/>
    <n v="292"/>
    <n v="1030"/>
    <n v="5850"/>
    <n v="5558"/>
    <n v="5.3961165048543691"/>
    <n v="0.17606837606837608"/>
    <x v="4"/>
  </r>
  <r>
    <d v="2025-05-24T00:00:00"/>
    <s v="South"/>
    <s v="Social"/>
    <n v="5450"/>
    <n v="272"/>
    <n v="1330"/>
    <n v="6850"/>
    <n v="5178"/>
    <n v="3.8932330827067667"/>
    <n v="0.19416058394160585"/>
    <x v="4"/>
  </r>
  <r>
    <d v="2025-05-25T00:00:00"/>
    <s v="North"/>
    <s v="Direct"/>
    <n v="5900"/>
    <n v="295"/>
    <n v="1040"/>
    <n v="5900"/>
    <n v="5605"/>
    <n v="5.3894230769230766"/>
    <n v="0.17627118644067796"/>
    <x v="4"/>
  </r>
  <r>
    <d v="2025-05-25T00:00:00"/>
    <s v="South"/>
    <s v="Social"/>
    <n v="5500"/>
    <n v="275"/>
    <n v="1340"/>
    <n v="6900"/>
    <n v="5225"/>
    <n v="3.8992537313432836"/>
    <n v="0.19420289855072465"/>
    <x v="4"/>
  </r>
  <r>
    <d v="2025-05-26T00:00:00"/>
    <s v="North"/>
    <s v="Direct"/>
    <n v="5950"/>
    <n v="297"/>
    <n v="1050"/>
    <n v="5950"/>
    <n v="5653"/>
    <n v="5.383809523809524"/>
    <n v="0.17647058823529413"/>
    <x v="4"/>
  </r>
  <r>
    <d v="2025-05-26T00:00:00"/>
    <s v="South"/>
    <s v="Social"/>
    <n v="5550"/>
    <n v="277"/>
    <n v="1350"/>
    <n v="6950"/>
    <n v="5273"/>
    <n v="3.905925925925926"/>
    <n v="0.19424460431654678"/>
    <x v="4"/>
  </r>
  <r>
    <d v="2025-05-27T00:00:00"/>
    <s v="North"/>
    <s v="Direct"/>
    <n v="6000"/>
    <n v="300"/>
    <n v="1060"/>
    <n v="6000"/>
    <n v="5700"/>
    <n v="5.3773584905660377"/>
    <n v="0.17666666666666667"/>
    <x v="4"/>
  </r>
  <r>
    <d v="2025-05-27T00:00:00"/>
    <s v="South"/>
    <s v="Social"/>
    <n v="5600"/>
    <n v="280"/>
    <n v="1360"/>
    <n v="7000"/>
    <n v="5320"/>
    <n v="3.9117647058823528"/>
    <n v="0.19428571428571428"/>
    <x v="4"/>
  </r>
  <r>
    <d v="2025-05-28T00:00:00"/>
    <s v="North"/>
    <s v="Direct"/>
    <n v="6050"/>
    <n v="302"/>
    <n v="1070"/>
    <n v="6050"/>
    <n v="5748"/>
    <n v="5.3719626168224295"/>
    <n v="0.17685950413223139"/>
    <x v="4"/>
  </r>
  <r>
    <d v="2025-05-28T00:00:00"/>
    <s v="South"/>
    <s v="Social"/>
    <n v="5650"/>
    <n v="282"/>
    <n v="1370"/>
    <n v="7050"/>
    <n v="5368"/>
    <n v="3.9182481751824816"/>
    <n v="0.19432624113475178"/>
    <x v="4"/>
  </r>
  <r>
    <d v="2025-05-29T00:00:00"/>
    <s v="North"/>
    <s v="Direct"/>
    <n v="6100"/>
    <n v="305"/>
    <n v="1080"/>
    <n v="6100"/>
    <n v="5795"/>
    <n v="5.3657407407407405"/>
    <n v="0.17704918032786884"/>
    <x v="4"/>
  </r>
  <r>
    <d v="2025-05-29T00:00:00"/>
    <s v="South"/>
    <s v="Social"/>
    <n v="5700"/>
    <n v="285"/>
    <n v="1380"/>
    <n v="7100"/>
    <n v="5415"/>
    <n v="3.9239130434782608"/>
    <n v="0.19436619718309858"/>
    <x v="4"/>
  </r>
  <r>
    <d v="2025-05-30T00:00:00"/>
    <s v="North"/>
    <s v="Direct"/>
    <n v="6150"/>
    <n v="307"/>
    <n v="1090"/>
    <n v="6150"/>
    <n v="5843"/>
    <n v="5.3605504587155961"/>
    <n v="0.17723577235772359"/>
    <x v="4"/>
  </r>
  <r>
    <d v="2025-05-30T00:00:00"/>
    <s v="South"/>
    <s v="Social"/>
    <n v="5750"/>
    <n v="287"/>
    <n v="1390"/>
    <n v="7150"/>
    <n v="5463"/>
    <n v="3.9302158273381296"/>
    <n v="0.19440559440559441"/>
    <x v="4"/>
  </r>
  <r>
    <d v="2025-05-31T00:00:00"/>
    <s v="North"/>
    <s v="Direct"/>
    <n v="6200"/>
    <n v="310"/>
    <n v="1100"/>
    <n v="6200"/>
    <n v="5890"/>
    <n v="5.3545454545454545"/>
    <n v="0.17741935483870969"/>
    <x v="4"/>
  </r>
  <r>
    <d v="2025-05-31T00:00:00"/>
    <s v="South"/>
    <s v="Social"/>
    <n v="5800"/>
    <n v="290"/>
    <n v="1400"/>
    <n v="7200"/>
    <n v="5510"/>
    <n v="3.9357142857142855"/>
    <n v="0.19444444444444445"/>
    <x v="4"/>
  </r>
  <r>
    <d v="2025-06-01T00:00:00"/>
    <s v="North"/>
    <s v="Direct"/>
    <n v="6000"/>
    <n v="300"/>
    <n v="1000"/>
    <n v="6000"/>
    <n v="5700"/>
    <n v="5.7"/>
    <n v="0.16666666666666666"/>
    <x v="5"/>
  </r>
  <r>
    <d v="2025-06-01T00:00:00"/>
    <s v="South"/>
    <s v="Social"/>
    <n v="5600"/>
    <n v="280"/>
    <n v="1300"/>
    <n v="7000"/>
    <n v="5320"/>
    <n v="4.092307692307692"/>
    <n v="0.18571428571428572"/>
    <x v="5"/>
  </r>
  <r>
    <d v="2025-06-02T00:00:00"/>
    <s v="North"/>
    <s v="Direct"/>
    <n v="6050"/>
    <n v="302"/>
    <n v="1010"/>
    <n v="6050"/>
    <n v="5748"/>
    <n v="5.6910891089108908"/>
    <n v="0.16694214876033059"/>
    <x v="5"/>
  </r>
  <r>
    <d v="2025-06-02T00:00:00"/>
    <s v="South"/>
    <s v="Social"/>
    <n v="5650"/>
    <n v="282"/>
    <n v="1310"/>
    <n v="7050"/>
    <n v="5368"/>
    <n v="4.0977099236641221"/>
    <n v="0.18581560283687942"/>
    <x v="5"/>
  </r>
  <r>
    <d v="2025-06-03T00:00:00"/>
    <s v="North"/>
    <s v="Direct"/>
    <n v="6100"/>
    <n v="305"/>
    <n v="1020"/>
    <n v="6100"/>
    <n v="5795"/>
    <n v="5.6813725490196081"/>
    <n v="0.16721311475409836"/>
    <x v="5"/>
  </r>
  <r>
    <d v="2025-06-03T00:00:00"/>
    <s v="South"/>
    <s v="Social"/>
    <n v="5700"/>
    <n v="285"/>
    <n v="1320"/>
    <n v="7100"/>
    <n v="5415"/>
    <n v="4.1022727272727275"/>
    <n v="0.18591549295774648"/>
    <x v="5"/>
  </r>
  <r>
    <d v="2025-06-04T00:00:00"/>
    <s v="North"/>
    <s v="Direct"/>
    <n v="6150"/>
    <n v="307"/>
    <n v="1030"/>
    <n v="6150"/>
    <n v="5843"/>
    <n v="5.6728155339805824"/>
    <n v="0.16747967479674797"/>
    <x v="5"/>
  </r>
  <r>
    <d v="2025-06-04T00:00:00"/>
    <s v="South"/>
    <s v="Social"/>
    <n v="5750"/>
    <n v="287"/>
    <n v="1330"/>
    <n v="7150"/>
    <n v="5463"/>
    <n v="4.1075187969924816"/>
    <n v="0.18601398601398603"/>
    <x v="5"/>
  </r>
  <r>
    <d v="2025-06-05T00:00:00"/>
    <s v="North"/>
    <s v="Direct"/>
    <n v="6200"/>
    <n v="310"/>
    <n v="1040"/>
    <n v="6200"/>
    <n v="5890"/>
    <n v="5.6634615384615383"/>
    <n v="0.16774193548387098"/>
    <x v="5"/>
  </r>
  <r>
    <d v="2025-06-05T00:00:00"/>
    <s v="South"/>
    <s v="Social"/>
    <n v="5800"/>
    <n v="290"/>
    <n v="1340"/>
    <n v="7200"/>
    <n v="5510"/>
    <n v="4.1119402985074629"/>
    <n v="0.18611111111111112"/>
    <x v="5"/>
  </r>
  <r>
    <d v="2025-06-06T00:00:00"/>
    <s v="North"/>
    <s v="Direct"/>
    <n v="6250"/>
    <n v="312"/>
    <n v="1050"/>
    <n v="6250"/>
    <n v="5938"/>
    <n v="5.6552380952380954"/>
    <n v="0.16800000000000001"/>
    <x v="5"/>
  </r>
  <r>
    <d v="2025-06-06T00:00:00"/>
    <s v="South"/>
    <s v="Social"/>
    <n v="5850"/>
    <n v="292"/>
    <n v="1350"/>
    <n v="7250"/>
    <n v="5558"/>
    <n v="4.1170370370370373"/>
    <n v="0.18620689655172415"/>
    <x v="5"/>
  </r>
  <r>
    <d v="2025-06-07T00:00:00"/>
    <s v="North"/>
    <s v="Direct"/>
    <n v="6300"/>
    <n v="315"/>
    <n v="1060"/>
    <n v="6300"/>
    <n v="5985"/>
    <n v="5.6462264150943398"/>
    <n v="0.16825396825396827"/>
    <x v="5"/>
  </r>
  <r>
    <d v="2025-06-07T00:00:00"/>
    <s v="South"/>
    <s v="Social"/>
    <n v="5900"/>
    <n v="295"/>
    <n v="1360"/>
    <n v="7300"/>
    <n v="5605"/>
    <n v="4.1213235294117645"/>
    <n v="0.18630136986301371"/>
    <x v="5"/>
  </r>
  <r>
    <d v="2025-06-08T00:00:00"/>
    <s v="North"/>
    <s v="Direct"/>
    <n v="6350"/>
    <n v="317"/>
    <n v="1070"/>
    <n v="6350"/>
    <n v="6033"/>
    <n v="5.6383177570093457"/>
    <n v="0.16850393700787403"/>
    <x v="5"/>
  </r>
  <r>
    <d v="2025-06-08T00:00:00"/>
    <s v="South"/>
    <s v="Social"/>
    <n v="5950"/>
    <n v="297"/>
    <n v="1370"/>
    <n v="7350"/>
    <n v="5653"/>
    <n v="4.1262773722627735"/>
    <n v="0.18639455782312925"/>
    <x v="5"/>
  </r>
  <r>
    <d v="2025-06-09T00:00:00"/>
    <s v="North"/>
    <s v="Direct"/>
    <n v="6400"/>
    <n v="320"/>
    <n v="1080"/>
    <n v="6400"/>
    <n v="6080"/>
    <n v="5.6296296296296298"/>
    <n v="0.16875000000000001"/>
    <x v="5"/>
  </r>
  <r>
    <d v="2025-06-09T00:00:00"/>
    <s v="South"/>
    <s v="Social"/>
    <n v="6000"/>
    <n v="300"/>
    <n v="1380"/>
    <n v="7400"/>
    <n v="5700"/>
    <n v="4.1304347826086953"/>
    <n v="0.1864864864864865"/>
    <x v="5"/>
  </r>
  <r>
    <d v="2025-06-10T00:00:00"/>
    <s v="North"/>
    <s v="Direct"/>
    <n v="6450"/>
    <n v="322"/>
    <n v="1090"/>
    <n v="6450"/>
    <n v="6128"/>
    <n v="5.6220183486238531"/>
    <n v="0.16899224806201552"/>
    <x v="5"/>
  </r>
  <r>
    <d v="2025-06-10T00:00:00"/>
    <s v="South"/>
    <s v="Social"/>
    <n v="6050"/>
    <n v="302"/>
    <n v="1390"/>
    <n v="7450"/>
    <n v="5748"/>
    <n v="4.1352517985611508"/>
    <n v="0.18657718120805369"/>
    <x v="5"/>
  </r>
  <r>
    <d v="2025-06-11T00:00:00"/>
    <s v="North"/>
    <s v="Direct"/>
    <n v="6500"/>
    <n v="325"/>
    <n v="1100"/>
    <n v="6500"/>
    <n v="6175"/>
    <n v="5.6136363636363633"/>
    <n v="0.16923076923076924"/>
    <x v="5"/>
  </r>
  <r>
    <d v="2025-06-11T00:00:00"/>
    <s v="South"/>
    <s v="Social"/>
    <n v="6100"/>
    <n v="305"/>
    <n v="1400"/>
    <n v="7500"/>
    <n v="5795"/>
    <n v="4.1392857142857142"/>
    <n v="0.18666666666666668"/>
    <x v="5"/>
  </r>
  <r>
    <d v="2025-06-12T00:00:00"/>
    <s v="North"/>
    <s v="Direct"/>
    <n v="6550"/>
    <n v="327"/>
    <n v="1110"/>
    <n v="6550"/>
    <n v="6223"/>
    <n v="5.6063063063063066"/>
    <n v="0.16946564885496182"/>
    <x v="5"/>
  </r>
  <r>
    <d v="2025-06-12T00:00:00"/>
    <s v="South"/>
    <s v="Social"/>
    <n v="6150"/>
    <n v="307"/>
    <n v="1410"/>
    <n v="7550"/>
    <n v="5843"/>
    <n v="4.143971631205674"/>
    <n v="0.18675496688741722"/>
    <x v="5"/>
  </r>
  <r>
    <d v="2025-06-13T00:00:00"/>
    <s v="North"/>
    <s v="Direct"/>
    <n v="6600"/>
    <n v="330"/>
    <n v="1120"/>
    <n v="6600"/>
    <n v="6270"/>
    <n v="5.5982142857142856"/>
    <n v="0.16969696969696971"/>
    <x v="5"/>
  </r>
  <r>
    <d v="2025-06-13T00:00:00"/>
    <s v="South"/>
    <s v="Social"/>
    <n v="6200"/>
    <n v="310"/>
    <n v="1420"/>
    <n v="7600"/>
    <n v="5890"/>
    <n v="4.147887323943662"/>
    <n v="0.18684210526315789"/>
    <x v="5"/>
  </r>
  <r>
    <d v="2025-06-14T00:00:00"/>
    <s v="North"/>
    <s v="Direct"/>
    <n v="6650"/>
    <n v="332"/>
    <n v="1130"/>
    <n v="6650"/>
    <n v="6318"/>
    <n v="5.5911504424778764"/>
    <n v="0.1699248120300752"/>
    <x v="5"/>
  </r>
  <r>
    <d v="2025-06-14T00:00:00"/>
    <s v="South"/>
    <s v="Social"/>
    <n v="6250"/>
    <n v="312"/>
    <n v="1430"/>
    <n v="7650"/>
    <n v="5938"/>
    <n v="4.1524475524475521"/>
    <n v="0.1869281045751634"/>
    <x v="5"/>
  </r>
  <r>
    <d v="2025-06-15T00:00:00"/>
    <s v="North"/>
    <s v="Direct"/>
    <n v="5200"/>
    <n v="4800"/>
    <n v="700"/>
    <n v="4500"/>
    <n v="400"/>
    <n v="0.5714285714285714"/>
    <n v="0.15555555555555556"/>
    <x v="5"/>
  </r>
  <r>
    <d v="2025-06-15T00:00:00"/>
    <s v="South"/>
    <s v="Social"/>
    <n v="4900"/>
    <n v="4200"/>
    <n v="900"/>
    <n v="5200"/>
    <n v="700"/>
    <n v="0.77777777777777779"/>
    <n v="0.17307692307692307"/>
    <x v="5"/>
  </r>
  <r>
    <d v="2025-06-16T00:00:00"/>
    <s v="North"/>
    <s v="Direct"/>
    <n v="5100"/>
    <n v="4700"/>
    <n v="650"/>
    <n v="4400"/>
    <n v="400"/>
    <n v="0.61538461538461542"/>
    <n v="0.14772727272727273"/>
    <x v="5"/>
  </r>
  <r>
    <d v="2025-06-16T00:00:00"/>
    <s v="South"/>
    <s v="Social"/>
    <n v="4800"/>
    <n v="4100"/>
    <n v="850"/>
    <n v="5100"/>
    <n v="700"/>
    <n v="0.82352941176470584"/>
    <n v="0.16666666666666666"/>
    <x v="5"/>
  </r>
  <r>
    <d v="2025-06-17T00:00:00"/>
    <s v="North"/>
    <s v="Direct"/>
    <n v="5300"/>
    <n v="4900"/>
    <n v="720"/>
    <n v="4600"/>
    <n v="400"/>
    <n v="0.55555555555555558"/>
    <n v="0.15652173913043479"/>
    <x v="5"/>
  </r>
  <r>
    <d v="2025-06-17T00:00:00"/>
    <s v="South"/>
    <s v="Social"/>
    <n v="5000"/>
    <n v="4300"/>
    <n v="920"/>
    <n v="5300"/>
    <n v="700"/>
    <n v="0.76086956521739135"/>
    <n v="0.17358490566037735"/>
    <x v="5"/>
  </r>
  <r>
    <d v="2025-06-18T00:00:00"/>
    <s v="North"/>
    <s v="Direct"/>
    <n v="5200"/>
    <n v="4800"/>
    <n v="700"/>
    <n v="4500"/>
    <n v="400"/>
    <n v="0.5714285714285714"/>
    <n v="0.15555555555555556"/>
    <x v="5"/>
  </r>
  <r>
    <d v="2025-06-18T00:00:00"/>
    <s v="South"/>
    <s v="Social"/>
    <n v="4900"/>
    <n v="4200"/>
    <n v="900"/>
    <n v="5200"/>
    <n v="700"/>
    <n v="0.77777777777777779"/>
    <n v="0.17307692307692307"/>
    <x v="5"/>
  </r>
  <r>
    <d v="2025-06-19T00:00:00"/>
    <s v="North"/>
    <s v="Direct"/>
    <n v="5100"/>
    <n v="4700"/>
    <n v="650"/>
    <n v="4400"/>
    <n v="400"/>
    <n v="0.61538461538461542"/>
    <n v="0.14772727272727273"/>
    <x v="5"/>
  </r>
  <r>
    <d v="2025-06-19T00:00:00"/>
    <s v="South"/>
    <s v="Social"/>
    <n v="4800"/>
    <n v="4100"/>
    <n v="850"/>
    <n v="5100"/>
    <n v="700"/>
    <n v="0.82352941176470584"/>
    <n v="0.16666666666666666"/>
    <x v="5"/>
  </r>
  <r>
    <d v="2025-06-20T00:00:00"/>
    <s v="North"/>
    <s v="Direct"/>
    <n v="5300"/>
    <n v="4900"/>
    <n v="720"/>
    <n v="4600"/>
    <n v="400"/>
    <n v="0.55555555555555558"/>
    <n v="0.15652173913043479"/>
    <x v="5"/>
  </r>
  <r>
    <d v="2025-06-20T00:00:00"/>
    <s v="South"/>
    <s v="Social"/>
    <n v="5000"/>
    <n v="4300"/>
    <n v="920"/>
    <n v="5300"/>
    <n v="700"/>
    <n v="0.76086956521739135"/>
    <n v="0.17358490566037735"/>
    <x v="5"/>
  </r>
  <r>
    <d v="2025-06-21T00:00:00"/>
    <s v="North"/>
    <s v="Direct"/>
    <n v="5200"/>
    <n v="4800"/>
    <n v="700"/>
    <n v="4500"/>
    <n v="400"/>
    <n v="0.5714285714285714"/>
    <n v="0.15555555555555556"/>
    <x v="5"/>
  </r>
  <r>
    <d v="2025-06-21T00:00:00"/>
    <s v="South"/>
    <s v="Social"/>
    <n v="4900"/>
    <n v="4200"/>
    <n v="900"/>
    <n v="5200"/>
    <n v="700"/>
    <n v="0.77777777777777779"/>
    <n v="0.17307692307692307"/>
    <x v="5"/>
  </r>
  <r>
    <d v="2025-06-22T00:00:00"/>
    <s v="North"/>
    <s v="Direct"/>
    <n v="6500"/>
    <n v="325"/>
    <n v="1100"/>
    <n v="6500"/>
    <n v="6175"/>
    <n v="5.6136363636363633"/>
    <n v="0.16923076923076924"/>
    <x v="5"/>
  </r>
  <r>
    <d v="2025-06-22T00:00:00"/>
    <s v="South"/>
    <s v="Social"/>
    <n v="6100"/>
    <n v="305"/>
    <n v="1400"/>
    <n v="7500"/>
    <n v="5795"/>
    <n v="4.1392857142857142"/>
    <n v="0.18666666666666668"/>
    <x v="5"/>
  </r>
  <r>
    <d v="2025-06-23T00:00:00"/>
    <s v="North"/>
    <s v="Direct"/>
    <n v="6550"/>
    <n v="327"/>
    <n v="1110"/>
    <n v="6550"/>
    <n v="6223"/>
    <n v="5.6063063063063066"/>
    <n v="0.16946564885496182"/>
    <x v="5"/>
  </r>
  <r>
    <d v="2025-06-23T00:00:00"/>
    <s v="South"/>
    <s v="Social"/>
    <n v="6150"/>
    <n v="307"/>
    <n v="1410"/>
    <n v="7550"/>
    <n v="5843"/>
    <n v="4.143971631205674"/>
    <n v="0.18675496688741722"/>
    <x v="5"/>
  </r>
  <r>
    <d v="2025-06-24T00:00:00"/>
    <s v="North"/>
    <s v="Direct"/>
    <n v="6600"/>
    <n v="330"/>
    <n v="1120"/>
    <n v="6600"/>
    <n v="6270"/>
    <n v="5.5982142857142856"/>
    <n v="0.16969696969696971"/>
    <x v="5"/>
  </r>
  <r>
    <d v="2025-06-24T00:00:00"/>
    <s v="South"/>
    <s v="Social"/>
    <n v="6200"/>
    <n v="310"/>
    <n v="1420"/>
    <n v="7600"/>
    <n v="5890"/>
    <n v="4.147887323943662"/>
    <n v="0.18684210526315789"/>
    <x v="5"/>
  </r>
  <r>
    <d v="2025-06-25T00:00:00"/>
    <s v="North"/>
    <s v="Direct"/>
    <n v="6650"/>
    <n v="332"/>
    <n v="1130"/>
    <n v="6650"/>
    <n v="6318"/>
    <n v="5.5911504424778764"/>
    <n v="0.1699248120300752"/>
    <x v="5"/>
  </r>
  <r>
    <d v="2025-06-25T00:00:00"/>
    <s v="South"/>
    <s v="Social"/>
    <n v="6250"/>
    <n v="312"/>
    <n v="1430"/>
    <n v="7650"/>
    <n v="5938"/>
    <n v="4.1524475524475521"/>
    <n v="0.1869281045751634"/>
    <x v="5"/>
  </r>
  <r>
    <d v="2025-06-26T00:00:00"/>
    <s v="North"/>
    <s v="Direct"/>
    <n v="6700"/>
    <n v="335"/>
    <n v="1140"/>
    <n v="6700"/>
    <n v="6365"/>
    <n v="5.583333333333333"/>
    <n v="0.17014925373134329"/>
    <x v="5"/>
  </r>
  <r>
    <d v="2025-06-26T00:00:00"/>
    <s v="South"/>
    <s v="Social"/>
    <n v="6300"/>
    <n v="315"/>
    <n v="1440"/>
    <n v="7700"/>
    <n v="5985"/>
    <n v="4.15625"/>
    <n v="0.18701298701298702"/>
    <x v="5"/>
  </r>
  <r>
    <d v="2025-06-27T00:00:00"/>
    <s v="North"/>
    <s v="Direct"/>
    <n v="6750"/>
    <n v="337"/>
    <n v="1150"/>
    <n v="6750"/>
    <n v="6413"/>
    <n v="5.5765217391304347"/>
    <n v="0.17037037037037037"/>
    <x v="5"/>
  </r>
  <r>
    <d v="2025-06-27T00:00:00"/>
    <s v="South"/>
    <s v="Social"/>
    <n v="6350"/>
    <n v="317"/>
    <n v="1450"/>
    <n v="7750"/>
    <n v="6033"/>
    <n v="4.1606896551724137"/>
    <n v="0.18709677419354839"/>
    <x v="5"/>
  </r>
  <r>
    <d v="2025-06-28T00:00:00"/>
    <s v="North"/>
    <s v="Direct"/>
    <n v="6800"/>
    <n v="340"/>
    <n v="1160"/>
    <n v="6800"/>
    <n v="6460"/>
    <n v="5.568965517241379"/>
    <n v="0.17058823529411765"/>
    <x v="5"/>
  </r>
  <r>
    <d v="2025-06-28T00:00:00"/>
    <s v="South"/>
    <s v="Social"/>
    <n v="6400"/>
    <n v="320"/>
    <n v="1460"/>
    <n v="7800"/>
    <n v="6080"/>
    <n v="4.1643835616438354"/>
    <n v="0.18717948717948718"/>
    <x v="5"/>
  </r>
  <r>
    <d v="2025-06-29T00:00:00"/>
    <s v="North"/>
    <s v="Direct"/>
    <n v="6850"/>
    <n v="342"/>
    <n v="1170"/>
    <n v="6850"/>
    <n v="6508"/>
    <n v="5.5623931623931622"/>
    <n v="0.17080291970802919"/>
    <x v="5"/>
  </r>
  <r>
    <d v="2025-06-29T00:00:00"/>
    <s v="South"/>
    <s v="Social"/>
    <n v="6450"/>
    <n v="322"/>
    <n v="1470"/>
    <n v="7850"/>
    <n v="6128"/>
    <n v="4.1687074829931969"/>
    <n v="0.18726114649681527"/>
    <x v="5"/>
  </r>
  <r>
    <d v="2025-06-30T00:00:00"/>
    <s v="North"/>
    <s v="Direct"/>
    <n v="6900"/>
    <n v="345"/>
    <n v="1180"/>
    <n v="6900"/>
    <n v="6555"/>
    <n v="5.5550847457627119"/>
    <n v="0.17101449275362318"/>
    <x v="5"/>
  </r>
  <r>
    <d v="2025-06-30T00:00:00"/>
    <s v="South"/>
    <s v="Social"/>
    <n v="6500"/>
    <n v="325"/>
    <n v="1480"/>
    <n v="7900"/>
    <n v="6175"/>
    <n v="4.1722972972972974"/>
    <n v="0.18734177215189873"/>
    <x v="5"/>
  </r>
  <r>
    <d v="2025-07-01T00:00:00"/>
    <s v="North"/>
    <s v="Direct"/>
    <n v="5500"/>
    <n v="275"/>
    <n v="900"/>
    <n v="5200"/>
    <n v="5225"/>
    <n v="5.8055555555555554"/>
    <n v="0.17307692307692307"/>
    <x v="6"/>
  </r>
  <r>
    <d v="2025-07-01T00:00:00"/>
    <s v="South"/>
    <s v="Social"/>
    <n v="5100"/>
    <n v="255"/>
    <n v="1200"/>
    <n v="6500"/>
    <n v="4845"/>
    <n v="4.0374999999999996"/>
    <n v="0.18461538461538463"/>
    <x v="6"/>
  </r>
  <r>
    <d v="2025-07-02T00:00:00"/>
    <s v="North"/>
    <s v="Direct"/>
    <n v="5550"/>
    <n v="277"/>
    <n v="910"/>
    <n v="5250"/>
    <n v="5273"/>
    <n v="5.7945054945054943"/>
    <n v="0.17333333333333334"/>
    <x v="6"/>
  </r>
  <r>
    <d v="2025-07-02T00:00:00"/>
    <s v="South"/>
    <s v="Social"/>
    <n v="5150"/>
    <n v="257"/>
    <n v="1210"/>
    <n v="6550"/>
    <n v="4893"/>
    <n v="4.0438016528925615"/>
    <n v="0.18473282442748093"/>
    <x v="6"/>
  </r>
  <r>
    <d v="2025-07-03T00:00:00"/>
    <s v="North"/>
    <s v="Direct"/>
    <n v="5600"/>
    <n v="280"/>
    <n v="920"/>
    <n v="5300"/>
    <n v="5320"/>
    <n v="5.7826086956521738"/>
    <n v="0.17358490566037735"/>
    <x v="6"/>
  </r>
  <r>
    <d v="2025-07-03T00:00:00"/>
    <s v="South"/>
    <s v="Social"/>
    <n v="5200"/>
    <n v="260"/>
    <n v="1220"/>
    <n v="6600"/>
    <n v="4940"/>
    <n v="4.0491803278688527"/>
    <n v="0.18484848484848485"/>
    <x v="6"/>
  </r>
  <r>
    <d v="2025-07-04T00:00:00"/>
    <s v="North"/>
    <s v="Direct"/>
    <n v="5650"/>
    <n v="282"/>
    <n v="930"/>
    <n v="5350"/>
    <n v="5368"/>
    <n v="5.7720430107526886"/>
    <n v="0.17383177570093458"/>
    <x v="6"/>
  </r>
  <r>
    <d v="2025-07-04T00:00:00"/>
    <s v="South"/>
    <s v="Social"/>
    <n v="5250"/>
    <n v="262"/>
    <n v="1230"/>
    <n v="6650"/>
    <n v="4988"/>
    <n v="4.0552845528455288"/>
    <n v="0.18496240601503761"/>
    <x v="6"/>
  </r>
  <r>
    <d v="2025-07-05T00:00:00"/>
    <s v="North"/>
    <s v="Direct"/>
    <n v="5700"/>
    <n v="285"/>
    <n v="940"/>
    <n v="5400"/>
    <n v="5415"/>
    <n v="5.7606382978723403"/>
    <n v="0.17407407407407408"/>
    <x v="6"/>
  </r>
  <r>
    <d v="2025-07-05T00:00:00"/>
    <s v="South"/>
    <s v="Social"/>
    <n v="5300"/>
    <n v="265"/>
    <n v="1240"/>
    <n v="6700"/>
    <n v="5035"/>
    <n v="4.060483870967742"/>
    <n v="0.18507462686567164"/>
    <x v="6"/>
  </r>
  <r>
    <d v="2025-07-06T00:00:00"/>
    <s v="North"/>
    <s v="Direct"/>
    <n v="5750"/>
    <n v="287"/>
    <n v="950"/>
    <n v="5450"/>
    <n v="5463"/>
    <n v="5.7505263157894735"/>
    <n v="0.1743119266055046"/>
    <x v="6"/>
  </r>
  <r>
    <d v="2025-07-06T00:00:00"/>
    <s v="South"/>
    <s v="Social"/>
    <n v="5350"/>
    <n v="267"/>
    <n v="1250"/>
    <n v="6750"/>
    <n v="5083"/>
    <n v="4.0663999999999998"/>
    <n v="0.18518518518518517"/>
    <x v="6"/>
  </r>
  <r>
    <d v="2025-07-07T00:00:00"/>
    <s v="North"/>
    <s v="Direct"/>
    <n v="5800"/>
    <n v="290"/>
    <n v="960"/>
    <n v="5500"/>
    <n v="5510"/>
    <n v="5.739583333333333"/>
    <n v="0.17454545454545456"/>
    <x v="6"/>
  </r>
  <r>
    <d v="2025-07-07T00:00:00"/>
    <s v="South"/>
    <s v="Social"/>
    <n v="5400"/>
    <n v="270"/>
    <n v="1260"/>
    <n v="6800"/>
    <n v="5130"/>
    <n v="4.0714285714285712"/>
    <n v="0.18529411764705883"/>
    <x v="6"/>
  </r>
  <r>
    <d v="2025-07-08T00:00:00"/>
    <s v="North"/>
    <s v="Direct"/>
    <n v="5850"/>
    <n v="292"/>
    <n v="970"/>
    <n v="5550"/>
    <n v="5558"/>
    <n v="5.7298969072164949"/>
    <n v="0.17477477477477477"/>
    <x v="6"/>
  </r>
  <r>
    <d v="2025-07-08T00:00:00"/>
    <s v="South"/>
    <s v="Social"/>
    <n v="5450"/>
    <n v="272"/>
    <n v="1270"/>
    <n v="6850"/>
    <n v="5178"/>
    <n v="4.0771653543307087"/>
    <n v="0.1854014598540146"/>
    <x v="6"/>
  </r>
  <r>
    <d v="2025-07-09T00:00:00"/>
    <s v="North"/>
    <s v="Direct"/>
    <n v="5900"/>
    <n v="295"/>
    <n v="980"/>
    <n v="5600"/>
    <n v="5605"/>
    <n v="5.7193877551020407"/>
    <n v="0.17499999999999999"/>
    <x v="6"/>
  </r>
  <r>
    <d v="2025-07-09T00:00:00"/>
    <s v="South"/>
    <s v="Social"/>
    <n v="5500"/>
    <n v="275"/>
    <n v="1280"/>
    <n v="6900"/>
    <n v="5225"/>
    <n v="4.08203125"/>
    <n v="0.1855072463768116"/>
    <x v="6"/>
  </r>
  <r>
    <d v="2025-07-10T00:00:00"/>
    <s v="North"/>
    <s v="Direct"/>
    <n v="5950"/>
    <n v="297"/>
    <n v="990"/>
    <n v="5650"/>
    <n v="5653"/>
    <n v="5.7101010101010097"/>
    <n v="0.17522123893805311"/>
    <x v="6"/>
  </r>
  <r>
    <d v="2025-07-10T00:00:00"/>
    <s v="South"/>
    <s v="Social"/>
    <n v="5550"/>
    <n v="277"/>
    <n v="1290"/>
    <n v="6950"/>
    <n v="5273"/>
    <n v="4.0875968992248062"/>
    <n v="0.1856115107913669"/>
    <x v="6"/>
  </r>
  <r>
    <d v="2025-07-11T00:00:00"/>
    <s v="North"/>
    <s v="Direct"/>
    <n v="6000"/>
    <n v="300"/>
    <n v="1000"/>
    <n v="5700"/>
    <n v="5700"/>
    <n v="5.7"/>
    <n v="0.17543859649122806"/>
    <x v="6"/>
  </r>
  <r>
    <d v="2025-07-11T00:00:00"/>
    <s v="South"/>
    <s v="Social"/>
    <n v="5600"/>
    <n v="280"/>
    <n v="1300"/>
    <n v="7000"/>
    <n v="5320"/>
    <n v="4.092307692307692"/>
    <n v="0.18571428571428572"/>
    <x v="6"/>
  </r>
  <r>
    <d v="2025-07-12T00:00:00"/>
    <s v="North"/>
    <s v="Direct"/>
    <n v="6050"/>
    <n v="302"/>
    <n v="1010"/>
    <n v="5750"/>
    <n v="5748"/>
    <n v="5.6910891089108908"/>
    <n v="0.17565217391304347"/>
    <x v="6"/>
  </r>
  <r>
    <d v="2025-07-12T00:00:00"/>
    <s v="South"/>
    <s v="Social"/>
    <n v="5650"/>
    <n v="282"/>
    <n v="1310"/>
    <n v="7050"/>
    <n v="5368"/>
    <n v="4.0977099236641221"/>
    <n v="0.18581560283687942"/>
    <x v="6"/>
  </r>
  <r>
    <d v="2025-07-13T00:00:00"/>
    <s v="North"/>
    <s v="Direct"/>
    <n v="6100"/>
    <n v="305"/>
    <n v="1020"/>
    <n v="5800"/>
    <n v="5795"/>
    <n v="5.6813725490196081"/>
    <n v="0.17586206896551723"/>
    <x v="6"/>
  </r>
  <r>
    <d v="2025-07-13T00:00:00"/>
    <s v="South"/>
    <s v="Social"/>
    <n v="5700"/>
    <n v="285"/>
    <n v="1320"/>
    <n v="7100"/>
    <n v="5415"/>
    <n v="4.1022727272727275"/>
    <n v="0.18591549295774648"/>
    <x v="6"/>
  </r>
  <r>
    <d v="2025-07-14T00:00:00"/>
    <s v="North"/>
    <s v="Direct"/>
    <n v="6150"/>
    <n v="307"/>
    <n v="1030"/>
    <n v="5850"/>
    <n v="5843"/>
    <n v="5.6728155339805824"/>
    <n v="0.17606837606837608"/>
    <x v="6"/>
  </r>
  <r>
    <d v="2025-07-14T00:00:00"/>
    <s v="South"/>
    <s v="Social"/>
    <n v="5750"/>
    <n v="287"/>
    <n v="1330"/>
    <n v="7150"/>
    <n v="5463"/>
    <n v="4.1075187969924816"/>
    <n v="0.18601398601398603"/>
    <x v="6"/>
  </r>
  <r>
    <d v="2025-07-15T00:00:00"/>
    <s v="North"/>
    <s v="Direct"/>
    <n v="6200"/>
    <n v="310"/>
    <n v="1040"/>
    <n v="5900"/>
    <n v="5890"/>
    <n v="5.6634615384615383"/>
    <n v="0.17627118644067796"/>
    <x v="6"/>
  </r>
  <r>
    <d v="2025-07-15T00:00:00"/>
    <s v="South"/>
    <s v="Social"/>
    <n v="5800"/>
    <n v="290"/>
    <n v="1340"/>
    <n v="7200"/>
    <n v="5510"/>
    <n v="4.1119402985074629"/>
    <n v="0.18611111111111112"/>
    <x v="6"/>
  </r>
  <r>
    <d v="2025-07-16T00:00:00"/>
    <s v="North"/>
    <s v="Direct"/>
    <n v="6250"/>
    <n v="312"/>
    <n v="1050"/>
    <n v="5950"/>
    <n v="5938"/>
    <n v="5.6552380952380954"/>
    <n v="0.17647058823529413"/>
    <x v="6"/>
  </r>
  <r>
    <d v="2025-07-16T00:00:00"/>
    <s v="South"/>
    <s v="Social"/>
    <n v="5850"/>
    <n v="292"/>
    <n v="1350"/>
    <n v="7250"/>
    <n v="5558"/>
    <n v="4.1170370370370373"/>
    <n v="0.18620689655172415"/>
    <x v="6"/>
  </r>
  <r>
    <d v="2025-07-17T00:00:00"/>
    <s v="North"/>
    <s v="Direct"/>
    <n v="6300"/>
    <n v="315"/>
    <n v="1060"/>
    <n v="6000"/>
    <n v="5985"/>
    <n v="5.6462264150943398"/>
    <n v="0.17666666666666667"/>
    <x v="6"/>
  </r>
  <r>
    <d v="2025-07-17T00:00:00"/>
    <s v="South"/>
    <s v="Social"/>
    <n v="5900"/>
    <n v="295"/>
    <n v="1360"/>
    <n v="7300"/>
    <n v="5605"/>
    <n v="4.1213235294117645"/>
    <n v="0.18630136986301371"/>
    <x v="6"/>
  </r>
  <r>
    <d v="2025-07-18T00:00:00"/>
    <s v="North"/>
    <s v="Direct"/>
    <n v="6350"/>
    <n v="317"/>
    <n v="1070"/>
    <n v="6050"/>
    <n v="6033"/>
    <n v="5.6383177570093457"/>
    <n v="0.17685950413223139"/>
    <x v="6"/>
  </r>
  <r>
    <d v="2025-07-18T00:00:00"/>
    <s v="South"/>
    <s v="Social"/>
    <n v="5950"/>
    <n v="297"/>
    <n v="1370"/>
    <n v="7350"/>
    <n v="5653"/>
    <n v="4.1262773722627735"/>
    <n v="0.18639455782312925"/>
    <x v="6"/>
  </r>
  <r>
    <d v="2025-07-19T00:00:00"/>
    <s v="North"/>
    <s v="Direct"/>
    <n v="6400"/>
    <n v="320"/>
    <n v="1080"/>
    <n v="6100"/>
    <n v="6080"/>
    <n v="5.6296296296296298"/>
    <n v="0.17704918032786884"/>
    <x v="6"/>
  </r>
  <r>
    <d v="2025-07-19T00:00:00"/>
    <s v="South"/>
    <s v="Social"/>
    <n v="6000"/>
    <n v="300"/>
    <n v="1380"/>
    <n v="7400"/>
    <n v="5700"/>
    <n v="4.1304347826086953"/>
    <n v="0.1864864864864865"/>
    <x v="6"/>
  </r>
  <r>
    <d v="2025-07-20T00:00:00"/>
    <s v="North"/>
    <s v="Direct"/>
    <n v="6450"/>
    <n v="322"/>
    <n v="1090"/>
    <n v="6150"/>
    <n v="6128"/>
    <n v="5.6220183486238531"/>
    <n v="0.17723577235772359"/>
    <x v="6"/>
  </r>
  <r>
    <d v="2025-07-20T00:00:00"/>
    <s v="South"/>
    <s v="Social"/>
    <n v="6050"/>
    <n v="302"/>
    <n v="1390"/>
    <n v="7450"/>
    <n v="5748"/>
    <n v="4.1352517985611508"/>
    <n v="0.18657718120805369"/>
    <x v="6"/>
  </r>
  <r>
    <d v="2025-07-21T00:00:00"/>
    <s v="North"/>
    <s v="Direct"/>
    <n v="6500"/>
    <n v="325"/>
    <n v="1100"/>
    <n v="6200"/>
    <n v="6175"/>
    <n v="5.6136363636363633"/>
    <n v="0.17741935483870969"/>
    <x v="6"/>
  </r>
  <r>
    <d v="2025-07-21T00:00:00"/>
    <s v="South"/>
    <s v="Social"/>
    <n v="6100"/>
    <n v="305"/>
    <n v="1400"/>
    <n v="7500"/>
    <n v="5795"/>
    <n v="4.1392857142857142"/>
    <n v="0.18666666666666668"/>
    <x v="6"/>
  </r>
  <r>
    <d v="2025-07-22T00:00:00"/>
    <s v="North"/>
    <s v="Direct"/>
    <n v="6550"/>
    <n v="327"/>
    <n v="1110"/>
    <n v="6250"/>
    <n v="6223"/>
    <n v="5.6063063063063066"/>
    <n v="0.17760000000000001"/>
    <x v="6"/>
  </r>
  <r>
    <d v="2025-07-22T00:00:00"/>
    <s v="South"/>
    <s v="Social"/>
    <n v="6150"/>
    <n v="307"/>
    <n v="1410"/>
    <n v="7550"/>
    <n v="5843"/>
    <n v="4.143971631205674"/>
    <n v="0.18675496688741722"/>
    <x v="6"/>
  </r>
  <r>
    <d v="2025-07-23T00:00:00"/>
    <s v="North"/>
    <s v="Direct"/>
    <n v="6600"/>
    <n v="330"/>
    <n v="1120"/>
    <n v="6300"/>
    <n v="6270"/>
    <n v="5.5982142857142856"/>
    <n v="0.17777777777777778"/>
    <x v="6"/>
  </r>
  <r>
    <d v="2025-07-23T00:00:00"/>
    <s v="South"/>
    <s v="Social"/>
    <n v="6200"/>
    <n v="310"/>
    <n v="1420"/>
    <n v="7600"/>
    <n v="5890"/>
    <n v="4.147887323943662"/>
    <n v="0.18684210526315789"/>
    <x v="6"/>
  </r>
  <r>
    <d v="2025-07-24T00:00:00"/>
    <s v="North"/>
    <s v="Direct"/>
    <n v="6650"/>
    <n v="332"/>
    <n v="1130"/>
    <n v="6350"/>
    <n v="6318"/>
    <n v="5.5911504424778764"/>
    <n v="0.17795275590551182"/>
    <x v="6"/>
  </r>
  <r>
    <d v="2025-07-24T00:00:00"/>
    <s v="South"/>
    <s v="Social"/>
    <n v="6250"/>
    <n v="312"/>
    <n v="1430"/>
    <n v="7650"/>
    <n v="5938"/>
    <n v="4.1524475524475521"/>
    <n v="0.1869281045751634"/>
    <x v="6"/>
  </r>
  <r>
    <d v="2025-07-25T00:00:00"/>
    <s v="North"/>
    <s v="Direct"/>
    <n v="6700"/>
    <n v="335"/>
    <n v="1140"/>
    <n v="6400"/>
    <n v="6365"/>
    <n v="5.583333333333333"/>
    <n v="0.17812500000000001"/>
    <x v="6"/>
  </r>
  <r>
    <d v="2025-07-25T00:00:00"/>
    <s v="South"/>
    <s v="Social"/>
    <n v="6300"/>
    <n v="315"/>
    <n v="1440"/>
    <n v="7700"/>
    <n v="5985"/>
    <n v="4.15625"/>
    <n v="0.18701298701298702"/>
    <x v="6"/>
  </r>
  <r>
    <d v="2025-07-26T00:00:00"/>
    <s v="North"/>
    <s v="Direct"/>
    <n v="6750"/>
    <n v="337"/>
    <n v="1150"/>
    <n v="6450"/>
    <n v="6413"/>
    <n v="5.5765217391304347"/>
    <n v="0.17829457364341086"/>
    <x v="6"/>
  </r>
  <r>
    <d v="2025-07-26T00:00:00"/>
    <s v="South"/>
    <s v="Social"/>
    <n v="6350"/>
    <n v="317"/>
    <n v="1450"/>
    <n v="7750"/>
    <n v="6033"/>
    <n v="4.1606896551724137"/>
    <n v="0.18709677419354839"/>
    <x v="6"/>
  </r>
  <r>
    <d v="2025-07-27T00:00:00"/>
    <s v="North"/>
    <s v="Direct"/>
    <n v="6800"/>
    <n v="340"/>
    <n v="1160"/>
    <n v="6500"/>
    <n v="6460"/>
    <n v="5.568965517241379"/>
    <n v="0.17846153846153845"/>
    <x v="6"/>
  </r>
  <r>
    <d v="2025-07-27T00:00:00"/>
    <s v="South"/>
    <s v="Social"/>
    <n v="6400"/>
    <n v="320"/>
    <n v="1460"/>
    <n v="7800"/>
    <n v="6080"/>
    <n v="4.1643835616438354"/>
    <n v="0.18717948717948718"/>
    <x v="6"/>
  </r>
  <r>
    <d v="2025-07-28T00:00:00"/>
    <s v="North"/>
    <s v="Direct"/>
    <n v="6850"/>
    <n v="342"/>
    <n v="1170"/>
    <n v="6550"/>
    <n v="6508"/>
    <n v="5.5623931623931622"/>
    <n v="0.17862595419847327"/>
    <x v="6"/>
  </r>
  <r>
    <d v="2025-07-28T00:00:00"/>
    <s v="South"/>
    <s v="Social"/>
    <n v="6450"/>
    <n v="322"/>
    <n v="1470"/>
    <n v="7850"/>
    <n v="6128"/>
    <n v="4.1687074829931969"/>
    <n v="0.18726114649681527"/>
    <x v="6"/>
  </r>
  <r>
    <d v="2025-07-29T00:00:00"/>
    <s v="North"/>
    <s v="Direct"/>
    <n v="6900"/>
    <n v="345"/>
    <n v="1180"/>
    <n v="6600"/>
    <n v="6555"/>
    <n v="5.5550847457627119"/>
    <n v="0.1787878787878788"/>
    <x v="6"/>
  </r>
  <r>
    <d v="2025-07-29T00:00:00"/>
    <s v="South"/>
    <s v="Social"/>
    <n v="6500"/>
    <n v="325"/>
    <n v="1480"/>
    <n v="7900"/>
    <n v="6175"/>
    <n v="4.1722972972972974"/>
    <n v="0.18734177215189873"/>
    <x v="6"/>
  </r>
  <r>
    <d v="2025-07-30T00:00:00"/>
    <s v="North"/>
    <s v="Direct"/>
    <n v="6950"/>
    <n v="347"/>
    <n v="1190"/>
    <n v="6650"/>
    <n v="6603"/>
    <n v="5.5487394957983192"/>
    <n v="0.17894736842105263"/>
    <x v="6"/>
  </r>
  <r>
    <d v="2025-07-30T00:00:00"/>
    <s v="South"/>
    <s v="Social"/>
    <n v="6550"/>
    <n v="327"/>
    <n v="1490"/>
    <n v="7950"/>
    <n v="6223"/>
    <n v="4.1765100671140942"/>
    <n v="0.18742138364779873"/>
    <x v="6"/>
  </r>
  <r>
    <d v="2025-07-31T00:00:00"/>
    <s v="North"/>
    <s v="Direct"/>
    <n v="7000"/>
    <n v="350"/>
    <n v="1200"/>
    <n v="6700"/>
    <n v="6650"/>
    <n v="5.541666666666667"/>
    <n v="0.17910447761194029"/>
    <x v="6"/>
  </r>
  <r>
    <d v="2025-07-31T00:00:00"/>
    <s v="South"/>
    <s v="Social"/>
    <n v="6600"/>
    <n v="330"/>
    <n v="1500"/>
    <n v="8000"/>
    <n v="6270"/>
    <n v="4.18"/>
    <n v="0.1875"/>
    <x v="6"/>
  </r>
  <r>
    <d v="2025-08-01T00:00:00"/>
    <s v="North"/>
    <s v="Direct"/>
    <n v="7050"/>
    <n v="352"/>
    <n v="1210"/>
    <n v="6750"/>
    <n v="6698"/>
    <n v="5.5355371900826444"/>
    <n v="0.17925925925925926"/>
    <x v="7"/>
  </r>
  <r>
    <d v="2025-08-01T00:00:00"/>
    <s v="South"/>
    <s v="Social"/>
    <n v="6650"/>
    <n v="332"/>
    <n v="1510"/>
    <n v="8050"/>
    <n v="6318"/>
    <n v="4.1841059602649002"/>
    <n v="0.18757763975155278"/>
    <x v="7"/>
  </r>
  <r>
    <d v="2025-08-02T00:00:00"/>
    <s v="North"/>
    <s v="Direct"/>
    <n v="7100"/>
    <n v="355"/>
    <n v="1220"/>
    <n v="6800"/>
    <n v="6745"/>
    <n v="5.528688524590164"/>
    <n v="0.17941176470588235"/>
    <x v="7"/>
  </r>
  <r>
    <d v="2025-08-02T00:00:00"/>
    <s v="South"/>
    <s v="Social"/>
    <n v="6700"/>
    <n v="335"/>
    <n v="1520"/>
    <n v="8100"/>
    <n v="6365"/>
    <n v="4.1875"/>
    <n v="0.18765432098765433"/>
    <x v="7"/>
  </r>
  <r>
    <d v="2025-08-03T00:00:00"/>
    <s v="North"/>
    <s v="Direct"/>
    <n v="7150"/>
    <n v="357"/>
    <n v="1230"/>
    <n v="6850"/>
    <n v="6793"/>
    <n v="5.5227642276422761"/>
    <n v="0.17956204379562044"/>
    <x v="7"/>
  </r>
  <r>
    <d v="2025-08-03T00:00:00"/>
    <s v="South"/>
    <s v="Social"/>
    <n v="6750"/>
    <n v="337"/>
    <n v="1530"/>
    <n v="8150"/>
    <n v="6413"/>
    <n v="4.1915032679738564"/>
    <n v="0.18773006134969325"/>
    <x v="7"/>
  </r>
  <r>
    <d v="2025-08-04T00:00:00"/>
    <s v="North"/>
    <s v="Direct"/>
    <n v="7200"/>
    <n v="360"/>
    <n v="1240"/>
    <n v="6900"/>
    <n v="6840"/>
    <n v="5.5161290322580649"/>
    <n v="0.17971014492753623"/>
    <x v="7"/>
  </r>
  <r>
    <d v="2025-08-04T00:00:00"/>
    <s v="South"/>
    <s v="Social"/>
    <n v="6800"/>
    <n v="340"/>
    <n v="1540"/>
    <n v="8200"/>
    <n v="6460"/>
    <n v="4.1948051948051948"/>
    <n v="0.18780487804878049"/>
    <x v="7"/>
  </r>
  <r>
    <d v="2025-08-05T00:00:00"/>
    <s v="North"/>
    <s v="Direct"/>
    <n v="7250"/>
    <n v="362"/>
    <n v="1250"/>
    <n v="6950"/>
    <n v="6888"/>
    <n v="5.5103999999999997"/>
    <n v="0.17985611510791366"/>
    <x v="7"/>
  </r>
  <r>
    <d v="2025-08-05T00:00:00"/>
    <s v="South"/>
    <s v="Social"/>
    <n v="6850"/>
    <n v="342"/>
    <n v="1550"/>
    <n v="8250"/>
    <n v="6508"/>
    <n v="4.1987096774193544"/>
    <n v="0.18787878787878787"/>
    <x v="7"/>
  </r>
  <r>
    <d v="2025-08-06T00:00:00"/>
    <s v="North"/>
    <s v="Direct"/>
    <n v="7300"/>
    <n v="365"/>
    <n v="1260"/>
    <n v="7000"/>
    <n v="6935"/>
    <n v="5.503968253968254"/>
    <n v="0.18"/>
    <x v="7"/>
  </r>
  <r>
    <d v="2025-08-06T00:00:00"/>
    <s v="South"/>
    <s v="Social"/>
    <n v="6900"/>
    <n v="345"/>
    <n v="1560"/>
    <n v="8300"/>
    <n v="6555"/>
    <n v="4.2019230769230766"/>
    <n v="0.18795180722891566"/>
    <x v="7"/>
  </r>
  <r>
    <d v="2025-08-07T00:00:00"/>
    <s v="North"/>
    <s v="Direct"/>
    <n v="7350"/>
    <n v="367"/>
    <n v="1270"/>
    <n v="7050"/>
    <n v="6983"/>
    <n v="5.4984251968503939"/>
    <n v="0.18014184397163122"/>
    <x v="7"/>
  </r>
  <r>
    <d v="2025-08-07T00:00:00"/>
    <s v="South"/>
    <s v="Social"/>
    <n v="6950"/>
    <n v="347"/>
    <n v="1570"/>
    <n v="8350"/>
    <n v="6603"/>
    <n v="4.2057324840764334"/>
    <n v="0.18802395209580838"/>
    <x v="7"/>
  </r>
  <r>
    <d v="2025-08-08T00:00:00"/>
    <s v="North"/>
    <s v="Direct"/>
    <n v="7400"/>
    <n v="370"/>
    <n v="1280"/>
    <n v="7100"/>
    <n v="7030"/>
    <n v="5.4921875"/>
    <n v="0.18028169014084508"/>
    <x v="7"/>
  </r>
  <r>
    <d v="2025-08-08T00:00:00"/>
    <s v="South"/>
    <s v="Social"/>
    <n v="7000"/>
    <n v="350"/>
    <n v="1580"/>
    <n v="8400"/>
    <n v="6650"/>
    <n v="4.2088607594936711"/>
    <n v="0.18809523809523809"/>
    <x v="7"/>
  </r>
  <r>
    <d v="2025-08-09T00:00:00"/>
    <s v="North"/>
    <s v="Direct"/>
    <n v="7450"/>
    <n v="372"/>
    <n v="1290"/>
    <n v="7150"/>
    <n v="7078"/>
    <n v="5.4868217054263564"/>
    <n v="0.18041958041958042"/>
    <x v="7"/>
  </r>
  <r>
    <d v="2025-08-09T00:00:00"/>
    <s v="South"/>
    <s v="Social"/>
    <n v="7050"/>
    <n v="352"/>
    <n v="1590"/>
    <n v="8450"/>
    <n v="6698"/>
    <n v="4.212578616352201"/>
    <n v="0.18816568047337279"/>
    <x v="7"/>
  </r>
  <r>
    <d v="2025-08-10T00:00:00"/>
    <s v="North"/>
    <s v="Direct"/>
    <n v="7500"/>
    <n v="375"/>
    <n v="1300"/>
    <n v="7200"/>
    <n v="7125"/>
    <n v="5.4807692307692308"/>
    <n v="0.18055555555555555"/>
    <x v="7"/>
  </r>
  <r>
    <d v="2025-08-10T00:00:00"/>
    <s v="South"/>
    <s v="Social"/>
    <n v="7100"/>
    <n v="355"/>
    <n v="1600"/>
    <n v="8500"/>
    <n v="6745"/>
    <n v="4.2156250000000002"/>
    <n v="0.18823529411764706"/>
    <x v="7"/>
  </r>
  <r>
    <d v="2025-08-11T00:00:00"/>
    <s v="North"/>
    <s v="Direct"/>
    <n v="7550"/>
    <n v="377"/>
    <n v="1310"/>
    <n v="7250"/>
    <n v="7173"/>
    <n v="5.4755725190839692"/>
    <n v="0.18068965517241378"/>
    <x v="7"/>
  </r>
  <r>
    <d v="2025-08-11T00:00:00"/>
    <s v="South"/>
    <s v="Social"/>
    <n v="7150"/>
    <n v="357"/>
    <n v="1610"/>
    <n v="8550"/>
    <n v="6793"/>
    <n v="4.2192546583850934"/>
    <n v="0.18830409356725147"/>
    <x v="7"/>
  </r>
  <r>
    <d v="2025-08-12T00:00:00"/>
    <s v="North"/>
    <s v="Direct"/>
    <n v="7600"/>
    <n v="380"/>
    <n v="1320"/>
    <n v="7300"/>
    <n v="7220"/>
    <n v="5.4696969696969697"/>
    <n v="0.18082191780821918"/>
    <x v="7"/>
  </r>
  <r>
    <d v="2025-08-12T00:00:00"/>
    <s v="South"/>
    <s v="Social"/>
    <n v="7200"/>
    <n v="360"/>
    <n v="1620"/>
    <n v="8600"/>
    <n v="6840"/>
    <n v="4.2222222222222223"/>
    <n v="0.1883720930232558"/>
    <x v="7"/>
  </r>
  <r>
    <d v="2025-08-13T00:00:00"/>
    <s v="North"/>
    <s v="Direct"/>
    <n v="7650"/>
    <n v="382"/>
    <n v="1330"/>
    <n v="7350"/>
    <n v="7268"/>
    <n v="5.4646616541353383"/>
    <n v="0.18095238095238095"/>
    <x v="7"/>
  </r>
  <r>
    <d v="2025-08-13T00:00:00"/>
    <s v="South"/>
    <s v="Social"/>
    <n v="7250"/>
    <n v="362"/>
    <n v="1630"/>
    <n v="8650"/>
    <n v="6888"/>
    <n v="4.2257668711656438"/>
    <n v="0.18843930635838149"/>
    <x v="7"/>
  </r>
  <r>
    <d v="2025-08-14T00:00:00"/>
    <s v="North"/>
    <s v="Direct"/>
    <n v="7700"/>
    <n v="385"/>
    <n v="1340"/>
    <n v="7400"/>
    <n v="7315"/>
    <n v="5.4589552238805972"/>
    <n v="0.18108108108108109"/>
    <x v="7"/>
  </r>
  <r>
    <d v="2025-08-14T00:00:00"/>
    <s v="South"/>
    <s v="Social"/>
    <n v="7300"/>
    <n v="365"/>
    <n v="1640"/>
    <n v="8700"/>
    <n v="6935"/>
    <n v="4.2286585365853657"/>
    <n v="0.18850574712643678"/>
    <x v="7"/>
  </r>
  <r>
    <d v="2025-08-15T00:00:00"/>
    <s v="North"/>
    <s v="Direct"/>
    <n v="7750"/>
    <n v="387"/>
    <n v="1350"/>
    <n v="7450"/>
    <n v="7363"/>
    <n v="5.4540740740740743"/>
    <n v="0.18120805369127516"/>
    <x v="7"/>
  </r>
  <r>
    <d v="2025-08-15T00:00:00"/>
    <s v="South"/>
    <s v="Social"/>
    <n v="7350"/>
    <n v="367"/>
    <n v="1650"/>
    <n v="8750"/>
    <n v="6983"/>
    <n v="4.2321212121212124"/>
    <n v="0.18857142857142858"/>
    <x v="7"/>
  </r>
  <r>
    <d v="2025-08-16T00:00:00"/>
    <s v="North"/>
    <s v="Direct"/>
    <n v="7800"/>
    <n v="390"/>
    <n v="1360"/>
    <n v="7500"/>
    <n v="7410"/>
    <n v="5.4485294117647056"/>
    <n v="0.18133333333333335"/>
    <x v="7"/>
  </r>
  <r>
    <d v="2025-08-16T00:00:00"/>
    <s v="South"/>
    <s v="Social"/>
    <n v="7400"/>
    <n v="370"/>
    <n v="1660"/>
    <n v="8800"/>
    <n v="7030"/>
    <n v="4.2349397590361448"/>
    <n v="0.18863636363636363"/>
    <x v="7"/>
  </r>
  <r>
    <d v="2025-08-17T00:00:00"/>
    <s v="North"/>
    <s v="Direct"/>
    <n v="7850"/>
    <n v="392"/>
    <n v="1370"/>
    <n v="7550"/>
    <n v="7458"/>
    <n v="5.4437956204379558"/>
    <n v="0.18145695364238409"/>
    <x v="7"/>
  </r>
  <r>
    <d v="2025-08-17T00:00:00"/>
    <s v="South"/>
    <s v="Social"/>
    <n v="7450"/>
    <n v="372"/>
    <n v="1670"/>
    <n v="8850"/>
    <n v="7078"/>
    <n v="4.2383233532934135"/>
    <n v="0.18870056497175142"/>
    <x v="7"/>
  </r>
  <r>
    <d v="2025-08-18T00:00:00"/>
    <s v="North"/>
    <s v="Direct"/>
    <n v="7900"/>
    <n v="395"/>
    <n v="1380"/>
    <n v="7600"/>
    <n v="7505"/>
    <n v="5.4384057971014492"/>
    <n v="0.18157894736842106"/>
    <x v="7"/>
  </r>
  <r>
    <d v="2025-08-18T00:00:00"/>
    <s v="South"/>
    <s v="Social"/>
    <n v="7500"/>
    <n v="375"/>
    <n v="1680"/>
    <n v="8900"/>
    <n v="7125"/>
    <n v="4.2410714285714288"/>
    <n v="0.18876404494382024"/>
    <x v="7"/>
  </r>
  <r>
    <d v="2025-08-19T00:00:00"/>
    <s v="North"/>
    <s v="Direct"/>
    <n v="7950"/>
    <n v="397"/>
    <n v="1390"/>
    <n v="7650"/>
    <n v="7553"/>
    <n v="5.4338129496402878"/>
    <n v="0.18169934640522875"/>
    <x v="7"/>
  </r>
  <r>
    <d v="2025-08-19T00:00:00"/>
    <s v="South"/>
    <s v="Social"/>
    <n v="7550"/>
    <n v="377"/>
    <n v="1690"/>
    <n v="8950"/>
    <n v="7173"/>
    <n v="4.2443786982248524"/>
    <n v="0.1888268156424581"/>
    <x v="7"/>
  </r>
  <r>
    <d v="2025-08-20T00:00:00"/>
    <s v="North"/>
    <s v="Direct"/>
    <n v="8000"/>
    <n v="400"/>
    <n v="1400"/>
    <n v="7700"/>
    <n v="7600"/>
    <n v="5.4285714285714288"/>
    <n v="0.18181818181818182"/>
    <x v="7"/>
  </r>
  <r>
    <d v="2025-08-20T00:00:00"/>
    <s v="South"/>
    <s v="Social"/>
    <n v="7600"/>
    <n v="380"/>
    <n v="1700"/>
    <n v="9000"/>
    <n v="7220"/>
    <n v="4.2470588235294118"/>
    <n v="0.18888888888888888"/>
    <x v="7"/>
  </r>
  <r>
    <d v="2025-08-21T00:00:00"/>
    <s v="North"/>
    <s v="Direct"/>
    <n v="8050"/>
    <n v="402"/>
    <n v="1410"/>
    <n v="7750"/>
    <n v="7648"/>
    <n v="5.4241134751773048"/>
    <n v="0.18193548387096775"/>
    <x v="7"/>
  </r>
  <r>
    <d v="2025-08-21T00:00:00"/>
    <s v="South"/>
    <s v="Social"/>
    <n v="7650"/>
    <n v="382"/>
    <n v="1710"/>
    <n v="9050"/>
    <n v="7268"/>
    <n v="4.2502923976608189"/>
    <n v="0.18895027624309393"/>
    <x v="7"/>
  </r>
  <r>
    <d v="2025-08-22T00:00:00"/>
    <s v="North"/>
    <s v="Direct"/>
    <n v="8100"/>
    <n v="405"/>
    <n v="1420"/>
    <n v="7800"/>
    <n v="7695"/>
    <n v="5.419014084507042"/>
    <n v="0.18205128205128204"/>
    <x v="7"/>
  </r>
  <r>
    <d v="2025-08-22T00:00:00"/>
    <s v="South"/>
    <s v="Social"/>
    <n v="7700"/>
    <n v="385"/>
    <n v="1720"/>
    <n v="9100"/>
    <n v="7315"/>
    <n v="4.2529069767441863"/>
    <n v="0.18901098901098901"/>
    <x v="7"/>
  </r>
  <r>
    <d v="2025-08-23T00:00:00"/>
    <s v="North"/>
    <s v="Direct"/>
    <n v="8150"/>
    <n v="407"/>
    <n v="1430"/>
    <n v="7850"/>
    <n v="7743"/>
    <n v="5.4146853146853147"/>
    <n v="0.18216560509554139"/>
    <x v="7"/>
  </r>
  <r>
    <d v="2025-08-23T00:00:00"/>
    <s v="South"/>
    <s v="Social"/>
    <n v="7750"/>
    <n v="387"/>
    <n v="1730"/>
    <n v="9150"/>
    <n v="7363"/>
    <n v="4.2560693641618501"/>
    <n v="0.18907103825136612"/>
    <x v="7"/>
  </r>
  <r>
    <d v="2025-08-24T00:00:00"/>
    <s v="North"/>
    <s v="Direct"/>
    <n v="8200"/>
    <n v="410"/>
    <n v="1440"/>
    <n v="7900"/>
    <n v="7790"/>
    <n v="5.4097222222222223"/>
    <n v="0.18227848101265823"/>
    <x v="7"/>
  </r>
  <r>
    <d v="2025-08-24T00:00:00"/>
    <s v="South"/>
    <s v="Social"/>
    <n v="7800"/>
    <n v="390"/>
    <n v="1740"/>
    <n v="9200"/>
    <n v="7410"/>
    <n v="4.2586206896551726"/>
    <n v="0.18913043478260869"/>
    <x v="7"/>
  </r>
  <r>
    <d v="2025-08-25T00:00:00"/>
    <s v="North"/>
    <s v="Direct"/>
    <n v="8250"/>
    <n v="412"/>
    <n v="1450"/>
    <n v="7950"/>
    <n v="7838"/>
    <n v="5.40551724137931"/>
    <n v="0.18238993710691823"/>
    <x v="7"/>
  </r>
  <r>
    <d v="2025-08-25T00:00:00"/>
    <s v="South"/>
    <s v="Social"/>
    <n v="7850"/>
    <n v="392"/>
    <n v="1750"/>
    <n v="9250"/>
    <n v="7458"/>
    <n v="4.2617142857142856"/>
    <n v="0.1891891891891892"/>
    <x v="7"/>
  </r>
  <r>
    <d v="2025-08-26T00:00:00"/>
    <s v="North"/>
    <s v="Direct"/>
    <n v="8300"/>
    <n v="415"/>
    <n v="1460"/>
    <n v="8000"/>
    <n v="7885"/>
    <n v="5.4006849315068495"/>
    <n v="0.1825"/>
    <x v="7"/>
  </r>
  <r>
    <d v="2025-08-26T00:00:00"/>
    <s v="South"/>
    <s v="Social"/>
    <n v="7900"/>
    <n v="395"/>
    <n v="1760"/>
    <n v="9300"/>
    <n v="7505"/>
    <n v="4.2642045454545459"/>
    <n v="0.18924731182795698"/>
    <x v="7"/>
  </r>
  <r>
    <d v="2025-08-27T00:00:00"/>
    <s v="North"/>
    <s v="Direct"/>
    <n v="8350"/>
    <n v="417"/>
    <n v="1470"/>
    <n v="8050"/>
    <n v="7933"/>
    <n v="5.3965986394557826"/>
    <n v="0.18260869565217391"/>
    <x v="7"/>
  </r>
  <r>
    <d v="2025-08-27T00:00:00"/>
    <s v="South"/>
    <s v="Social"/>
    <n v="7950"/>
    <n v="397"/>
    <n v="1770"/>
    <n v="9350"/>
    <n v="7553"/>
    <n v="4.2672316384180791"/>
    <n v="0.1893048128342246"/>
    <x v="7"/>
  </r>
  <r>
    <d v="2025-08-28T00:00:00"/>
    <s v="North"/>
    <s v="Direct"/>
    <n v="6200"/>
    <n v="310"/>
    <n v="1100"/>
    <n v="5800"/>
    <n v="5890"/>
    <n v="5.3545454545454545"/>
    <n v="0.18965517241379309"/>
    <x v="7"/>
  </r>
  <r>
    <d v="2025-08-28T00:00:00"/>
    <s v="South"/>
    <s v="Social"/>
    <n v="5900"/>
    <n v="295"/>
    <n v="1400"/>
    <n v="7200"/>
    <n v="5605"/>
    <n v="4.003571428571429"/>
    <n v="0.19444444444444445"/>
    <x v="7"/>
  </r>
  <r>
    <d v="2025-08-29T00:00:00"/>
    <s v="North"/>
    <s v="Direct"/>
    <n v="6400"/>
    <n v="320"/>
    <n v="1150"/>
    <n v="5900"/>
    <n v="6080"/>
    <n v="5.2869565217391301"/>
    <n v="0.19491525423728814"/>
    <x v="7"/>
  </r>
  <r>
    <d v="2025-08-29T00:00:00"/>
    <s v="South"/>
    <s v="Social"/>
    <n v="6100"/>
    <n v="305"/>
    <n v="1450"/>
    <n v="7400"/>
    <n v="5795"/>
    <n v="3.9965517241379311"/>
    <n v="0.19594594594594594"/>
    <x v="7"/>
  </r>
  <r>
    <d v="2025-08-30T00:00:00"/>
    <s v="North"/>
    <s v="Direct"/>
    <n v="6500"/>
    <n v="325"/>
    <n v="1200"/>
    <n v="6000"/>
    <n v="6175"/>
    <n v="5.145833333333333"/>
    <n v="0.2"/>
    <x v="7"/>
  </r>
  <r>
    <d v="2025-08-30T00:00:00"/>
    <s v="South"/>
    <s v="Social"/>
    <n v="6200"/>
    <n v="310"/>
    <n v="1500"/>
    <n v="7500"/>
    <n v="5890"/>
    <n v="3.9266666666666667"/>
    <n v="0.2"/>
    <x v="7"/>
  </r>
  <r>
    <d v="2025-08-31T00:00:00"/>
    <s v="North"/>
    <s v="Direct"/>
    <n v="6600"/>
    <n v="330"/>
    <n v="1250"/>
    <n v="6100"/>
    <n v="6270"/>
    <n v="5.016"/>
    <n v="0.20491803278688525"/>
    <x v="7"/>
  </r>
  <r>
    <d v="2025-08-31T00:00:00"/>
    <s v="South"/>
    <s v="Social"/>
    <n v="6300"/>
    <n v="315"/>
    <n v="1550"/>
    <n v="7600"/>
    <n v="5985"/>
    <n v="3.8612903225806452"/>
    <n v="0.20394736842105263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E531A5-5569-4D2A-934B-D97148B5C84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:E10" firstHeaderRow="0" firstDataRow="1" firstDataCol="1"/>
  <pivotFields count="11">
    <pivotField numFmtId="14"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1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Net_Revenue" fld="7" baseField="0" baseItem="0"/>
    <dataField name="Sum of Marketing_Spend" fld="5" baseField="0" baseItem="0"/>
    <dataField name="Sum of Web_Traffic" fld="6" baseField="0" baseItem="0"/>
    <dataField name="Average of ROI" fld="8" subtotal="average" baseField="10" baseItem="0"/>
  </dataFields>
  <formats count="9">
    <format dxfId="12">
      <pivotArea collapsedLevelsAreSubtotals="1" fieldPosition="0">
        <references count="2">
          <reference field="4294967294" count="1" selected="0">
            <x v="3"/>
          </reference>
          <reference field="10" count="1">
            <x v="0"/>
          </reference>
        </references>
      </pivotArea>
    </format>
    <format dxfId="11">
      <pivotArea collapsedLevelsAreSubtotals="1" fieldPosition="0">
        <references count="2">
          <reference field="4294967294" count="1" selected="0">
            <x v="3"/>
          </reference>
          <reference field="10" count="1">
            <x v="2"/>
          </reference>
        </references>
      </pivotArea>
    </format>
    <format dxfId="10">
      <pivotArea collapsedLevelsAreSubtotals="1" fieldPosition="0">
        <references count="2">
          <reference field="4294967294" count="1" selected="0">
            <x v="3"/>
          </reference>
          <reference field="10" count="1">
            <x v="1"/>
          </reference>
        </references>
      </pivotArea>
    </format>
    <format dxfId="9">
      <pivotArea collapsedLevelsAreSubtotals="1" fieldPosition="0">
        <references count="2">
          <reference field="4294967294" count="1" selected="0">
            <x v="3"/>
          </reference>
          <reference field="10" count="1">
            <x v="3"/>
          </reference>
        </references>
      </pivotArea>
    </format>
    <format dxfId="8">
      <pivotArea collapsedLevelsAreSubtotals="1" fieldPosition="0">
        <references count="2">
          <reference field="4294967294" count="1" selected="0">
            <x v="3"/>
          </reference>
          <reference field="10" count="1">
            <x v="7"/>
          </reference>
        </references>
      </pivotArea>
    </format>
    <format dxfId="7">
      <pivotArea collapsedLevelsAreSubtotals="1" fieldPosition="0">
        <references count="2">
          <reference field="4294967294" count="1" selected="0">
            <x v="3"/>
          </reference>
          <reference field="10" count="1">
            <x v="4"/>
          </reference>
        </references>
      </pivotArea>
    </format>
    <format dxfId="6">
      <pivotArea collapsedLevelsAreSubtotals="1" fieldPosition="0">
        <references count="2">
          <reference field="4294967294" count="1" selected="0">
            <x v="3"/>
          </reference>
          <reference field="10" count="1">
            <x v="5"/>
          </reference>
        </references>
      </pivotArea>
    </format>
    <format dxfId="5">
      <pivotArea collapsedLevelsAreSubtotals="1" fieldPosition="0">
        <references count="2">
          <reference field="4294967294" count="1" selected="0">
            <x v="3"/>
          </reference>
          <reference field="10" count="1">
            <x v="6"/>
          </reference>
        </references>
      </pivotArea>
    </format>
    <format dxfId="4">
      <pivotArea field="10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3DBED7-B244-4394-8EC3-44A3FFC6D91D}" name="Table1" displayName="Table1" ref="A1:K487" totalsRowShown="0">
  <autoFilter ref="A1:K487" xr:uid="{623DBED7-B244-4394-8EC3-44A3FFC6D91D}"/>
  <sortState xmlns:xlrd2="http://schemas.microsoft.com/office/spreadsheetml/2017/richdata2" ref="A2:K487">
    <sortCondition descending="1" ref="D1:D487"/>
  </sortState>
  <tableColumns count="11">
    <tableColumn id="1" xr3:uid="{3E2A78EE-897C-46AE-B62A-9DA76AE9B45E}" name="Date"/>
    <tableColumn id="2" xr3:uid="{2C36E58D-D362-456C-922B-5723DE7B3DDB}" name="Region"/>
    <tableColumn id="3" xr3:uid="{A98C5661-F1D1-4B8D-BEA9-3FFAE3790A6B}" name="Channel"/>
    <tableColumn id="4" xr3:uid="{C6334DC0-BF28-4111-83EF-4A2D86DC1F0E}" name="Gross_Revenue"/>
    <tableColumn id="5" xr3:uid="{50A5A973-670D-4D6B-BA86-B4D9D50A3E07}" name="Refunds"/>
    <tableColumn id="6" xr3:uid="{FEB01E3D-28E1-4DA2-B119-859641E5061D}" name="Marketing_Spend"/>
    <tableColumn id="7" xr3:uid="{06092FC1-AA92-4162-B516-B2B10067B8DB}" name="Web_Traffic"/>
    <tableColumn id="8" xr3:uid="{9A393BB5-862D-4FEC-A60A-278EB80E6A9F}" name="Net_Revenue" dataDxfId="3">
      <calculatedColumnFormula>Table1[[#This Row],[Gross_Revenue]]-Table1[[#This Row],[Refunds]]</calculatedColumnFormula>
    </tableColumn>
    <tableColumn id="9" xr3:uid="{CB861186-A1E2-4672-BB8E-874BA8397C67}" name="ROI" dataDxfId="2">
      <calculatedColumnFormula>Table1[[#This Row],[Net_Revenue]]/Table1[[#This Row],[Marketing_Spend]]</calculatedColumnFormula>
    </tableColumn>
    <tableColumn id="10" xr3:uid="{2B931239-50E3-4DE8-83C7-0E51CAD81151}" name="CPA" dataDxfId="1">
      <calculatedColumnFormula>Table1[[#This Row],[Marketing_Spend]]/Table1[[#This Row],[Web_Traffic]]</calculatedColumnFormula>
    </tableColumn>
    <tableColumn id="12" xr3:uid="{914EBE46-83CC-465C-AD62-BB5D21604FF2}" name="Month" dataDxfId="0">
      <calculatedColumnFormula>TEXT(Table1[[#This Row],[Date]],"mmm")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D38DA-811A-4632-8448-F6B2362A665D}">
  <dimension ref="A1:G10"/>
  <sheetViews>
    <sheetView workbookViewId="0">
      <selection activeCell="E14" sqref="E14"/>
    </sheetView>
  </sheetViews>
  <sheetFormatPr defaultRowHeight="14.5" x14ac:dyDescent="0.35"/>
  <cols>
    <col min="1" max="1" width="12.36328125" bestFit="1" customWidth="1"/>
    <col min="2" max="2" width="18.453125" bestFit="1" customWidth="1"/>
    <col min="3" max="3" width="22.1796875" bestFit="1" customWidth="1"/>
    <col min="4" max="4" width="17.453125" bestFit="1" customWidth="1"/>
    <col min="5" max="5" width="13.26953125" bestFit="1" customWidth="1"/>
    <col min="6" max="6" width="20.54296875" customWidth="1"/>
    <col min="7" max="7" width="25.7265625" customWidth="1"/>
  </cols>
  <sheetData>
    <row r="1" spans="1:7" x14ac:dyDescent="0.35">
      <c r="A1" s="3" t="s">
        <v>15</v>
      </c>
      <c r="B1" t="s">
        <v>25</v>
      </c>
      <c r="C1" t="s">
        <v>26</v>
      </c>
      <c r="D1" t="s">
        <v>27</v>
      </c>
      <c r="E1" t="s">
        <v>28</v>
      </c>
      <c r="F1" s="6" t="s">
        <v>29</v>
      </c>
      <c r="G1" s="6" t="s">
        <v>30</v>
      </c>
    </row>
    <row r="2" spans="1:7" x14ac:dyDescent="0.35">
      <c r="A2" s="4" t="s">
        <v>16</v>
      </c>
      <c r="B2">
        <v>176874</v>
      </c>
      <c r="C2">
        <v>37040</v>
      </c>
      <c r="D2">
        <v>185850</v>
      </c>
      <c r="E2" s="2">
        <v>4.9713437289571081</v>
      </c>
      <c r="F2" t="str">
        <f>IFERROR((B2-B1)/B1,"NA")</f>
        <v>NA</v>
      </c>
      <c r="G2" t="str">
        <f>IFERROR((C2-C1)/C1,"NA")</f>
        <v>NA</v>
      </c>
    </row>
    <row r="3" spans="1:7" x14ac:dyDescent="0.35">
      <c r="A3" s="4" t="s">
        <v>17</v>
      </c>
      <c r="B3">
        <v>211484</v>
      </c>
      <c r="C3">
        <v>42560</v>
      </c>
      <c r="D3">
        <v>214200</v>
      </c>
      <c r="E3" s="2">
        <v>5.1590201370831155</v>
      </c>
      <c r="F3" s="2">
        <f>IFERROR((B3-B2)*100/B2,"")</f>
        <v>19.567601795628526</v>
      </c>
      <c r="G3" s="2">
        <f>(C3-C2)*100/C2</f>
        <v>14.902807775377969</v>
      </c>
    </row>
    <row r="4" spans="1:7" x14ac:dyDescent="0.35">
      <c r="A4" s="4" t="s">
        <v>18</v>
      </c>
      <c r="B4">
        <v>321020</v>
      </c>
      <c r="C4">
        <v>65410</v>
      </c>
      <c r="D4">
        <v>328600</v>
      </c>
      <c r="E4" s="2">
        <v>5.0026197961350451</v>
      </c>
      <c r="F4" s="2">
        <f t="shared" ref="F4:F9" si="0">IFERROR((B4-B3)*100/B3,"")</f>
        <v>51.793989143386732</v>
      </c>
      <c r="G4" s="2">
        <f t="shared" ref="G4:G9" si="1">(C4-C3)*100/C3</f>
        <v>53.688909774436091</v>
      </c>
    </row>
    <row r="5" spans="1:7" x14ac:dyDescent="0.35">
      <c r="A5" s="4" t="s">
        <v>19</v>
      </c>
      <c r="B5">
        <v>379240</v>
      </c>
      <c r="C5">
        <v>110300</v>
      </c>
      <c r="D5">
        <v>521200</v>
      </c>
      <c r="E5" s="2">
        <v>3.8975247548799703</v>
      </c>
      <c r="F5" s="2">
        <f t="shared" si="0"/>
        <v>18.135941685876269</v>
      </c>
      <c r="G5" s="2">
        <f t="shared" si="1"/>
        <v>68.628650053508636</v>
      </c>
    </row>
    <row r="6" spans="1:7" x14ac:dyDescent="0.35">
      <c r="A6" s="4" t="s">
        <v>20</v>
      </c>
      <c r="B6">
        <v>309240</v>
      </c>
      <c r="C6">
        <v>68200</v>
      </c>
      <c r="D6">
        <v>368900</v>
      </c>
      <c r="E6" s="2">
        <v>4.6450220824375688</v>
      </c>
      <c r="F6" s="2">
        <f t="shared" si="0"/>
        <v>-18.457968568716382</v>
      </c>
      <c r="G6" s="2">
        <f t="shared" si="1"/>
        <v>-38.168631006346331</v>
      </c>
    </row>
    <row r="7" spans="1:7" x14ac:dyDescent="0.35">
      <c r="A7" s="4" t="s">
        <v>21</v>
      </c>
      <c r="B7">
        <v>281786</v>
      </c>
      <c r="C7">
        <v>68320</v>
      </c>
      <c r="D7">
        <v>388600</v>
      </c>
      <c r="E7" s="2">
        <v>3.8992494335509993</v>
      </c>
      <c r="F7" s="2">
        <f t="shared" si="0"/>
        <v>-8.8778941922131676</v>
      </c>
      <c r="G7" s="2">
        <f t="shared" si="1"/>
        <v>0.17595307917888564</v>
      </c>
    </row>
    <row r="8" spans="1:7" x14ac:dyDescent="0.35">
      <c r="A8" s="4" t="s">
        <v>22</v>
      </c>
      <c r="B8">
        <v>356360</v>
      </c>
      <c r="C8">
        <v>74400</v>
      </c>
      <c r="D8">
        <v>409200</v>
      </c>
      <c r="E8" s="2">
        <v>4.8878452279773779</v>
      </c>
      <c r="F8" s="2">
        <f t="shared" si="0"/>
        <v>26.464764040796918</v>
      </c>
      <c r="G8" s="2">
        <f t="shared" si="1"/>
        <v>8.899297423887587</v>
      </c>
    </row>
    <row r="9" spans="1:7" x14ac:dyDescent="0.35">
      <c r="A9" s="4" t="s">
        <v>23</v>
      </c>
      <c r="B9">
        <v>432454</v>
      </c>
      <c r="C9">
        <v>91060</v>
      </c>
      <c r="D9">
        <v>488200</v>
      </c>
      <c r="E9" s="2">
        <v>4.8096725382054029</v>
      </c>
      <c r="F9" s="2">
        <f t="shared" si="0"/>
        <v>21.353126052306656</v>
      </c>
      <c r="G9" s="2">
        <f t="shared" si="1"/>
        <v>22.392473118279568</v>
      </c>
    </row>
    <row r="10" spans="1:7" x14ac:dyDescent="0.35">
      <c r="A10" s="4" t="s">
        <v>24</v>
      </c>
      <c r="B10">
        <v>2468458</v>
      </c>
      <c r="C10">
        <v>557290</v>
      </c>
      <c r="D10">
        <v>2904750</v>
      </c>
      <c r="E10" s="2">
        <v>4.6591250785034761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9DA23-3714-4059-BED6-4BCD3278AC37}">
  <dimension ref="A1:AA78"/>
  <sheetViews>
    <sheetView showGridLines="0" tabSelected="1" topLeftCell="A25" workbookViewId="0">
      <selection activeCell="L24" sqref="L24"/>
    </sheetView>
  </sheetViews>
  <sheetFormatPr defaultRowHeight="14.5" x14ac:dyDescent="0.35"/>
  <sheetData>
    <row r="1" spans="1:26" ht="14.5" customHeight="1" x14ac:dyDescent="0.35">
      <c r="A1" s="16" t="s">
        <v>38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4.5" customHeight="1" x14ac:dyDescent="0.3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4.5" customHeight="1" x14ac:dyDescent="0.3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5" spans="1:26" ht="14.5" customHeight="1" x14ac:dyDescent="0.35">
      <c r="D5" s="17" t="s">
        <v>40</v>
      </c>
      <c r="E5" s="17"/>
      <c r="F5" s="17"/>
      <c r="G5" s="17"/>
      <c r="P5" s="17" t="s">
        <v>41</v>
      </c>
      <c r="Q5" s="18"/>
      <c r="R5" s="18"/>
      <c r="S5" s="18"/>
    </row>
    <row r="6" spans="1:26" ht="14.5" customHeight="1" x14ac:dyDescent="0.35">
      <c r="D6" s="17"/>
      <c r="E6" s="17"/>
      <c r="F6" s="17"/>
      <c r="G6" s="17"/>
      <c r="P6" s="18"/>
      <c r="Q6" s="18"/>
      <c r="R6" s="18"/>
      <c r="S6" s="18"/>
    </row>
    <row r="15" spans="1:26" x14ac:dyDescent="0.35">
      <c r="W15" s="4"/>
    </row>
    <row r="17" spans="1:27" x14ac:dyDescent="0.35">
      <c r="E17" s="2"/>
    </row>
    <row r="26" spans="1:27" x14ac:dyDescent="0.35"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spans="1:27" ht="14.5" customHeight="1" x14ac:dyDescent="0.35">
      <c r="A27" s="19" t="s">
        <v>31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10"/>
    </row>
    <row r="28" spans="1:27" ht="14.5" customHeight="1" x14ac:dyDescent="0.35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10"/>
    </row>
    <row r="29" spans="1:27" ht="14.5" customHeight="1" x14ac:dyDescent="0.3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Z29" s="10"/>
      <c r="AA29" s="10"/>
    </row>
    <row r="30" spans="1:27" ht="14.5" customHeight="1" x14ac:dyDescent="0.3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8"/>
      <c r="M30" s="8"/>
      <c r="N30" s="8"/>
      <c r="O30" s="8"/>
      <c r="P30" s="8"/>
      <c r="Q30" s="8"/>
      <c r="R30" s="7"/>
      <c r="S30" s="7"/>
      <c r="T30" s="7"/>
      <c r="U30" s="7"/>
      <c r="V30" s="7"/>
    </row>
    <row r="31" spans="1:27" ht="14.5" customHeight="1" x14ac:dyDescent="0.35">
      <c r="A31" s="12" t="s">
        <v>39</v>
      </c>
      <c r="B31" s="12"/>
      <c r="C31" s="12"/>
      <c r="D31" s="12"/>
      <c r="E31" s="8"/>
      <c r="F31" s="8"/>
      <c r="G31" s="8"/>
      <c r="H31" s="8"/>
      <c r="I31" s="8"/>
      <c r="J31" s="8"/>
      <c r="K31" s="8"/>
      <c r="L31" s="8"/>
      <c r="M31" s="7"/>
      <c r="S31" s="11" t="s">
        <v>33</v>
      </c>
      <c r="T31" s="11"/>
      <c r="U31" s="11"/>
      <c r="V31" s="11"/>
    </row>
    <row r="32" spans="1:27" ht="14.5" customHeight="1" x14ac:dyDescent="0.35">
      <c r="A32" s="12"/>
      <c r="B32" s="12"/>
      <c r="C32" s="12"/>
      <c r="D32" s="12"/>
      <c r="E32" s="8"/>
      <c r="F32" s="8"/>
      <c r="G32" s="8"/>
      <c r="H32" s="8"/>
      <c r="I32" s="8"/>
      <c r="J32" s="8"/>
      <c r="K32" s="8"/>
      <c r="L32" s="8"/>
      <c r="M32" s="7"/>
      <c r="S32" s="11"/>
      <c r="T32" s="11"/>
      <c r="U32" s="11"/>
      <c r="V32" s="11"/>
    </row>
    <row r="33" spans="1:25" ht="14.5" customHeight="1" x14ac:dyDescent="0.35">
      <c r="A33" s="9" t="s">
        <v>37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8"/>
      <c r="R33" s="7"/>
      <c r="S33" s="9" t="s">
        <v>32</v>
      </c>
      <c r="T33" s="9"/>
      <c r="U33" s="9"/>
      <c r="V33" s="9"/>
      <c r="W33" s="9"/>
      <c r="X33" s="9"/>
      <c r="Y33" s="9"/>
    </row>
    <row r="34" spans="1:25" ht="14.5" customHeight="1" x14ac:dyDescent="0.3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8"/>
      <c r="R34" s="7"/>
      <c r="S34" s="9"/>
      <c r="T34" s="9"/>
      <c r="U34" s="9"/>
      <c r="V34" s="9"/>
      <c r="W34" s="9"/>
      <c r="X34" s="9"/>
      <c r="Y34" s="9"/>
    </row>
    <row r="35" spans="1:25" x14ac:dyDescent="0.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8"/>
      <c r="R35" s="7"/>
      <c r="S35" s="9"/>
      <c r="T35" s="9"/>
      <c r="U35" s="9"/>
      <c r="V35" s="9"/>
      <c r="W35" s="9"/>
      <c r="X35" s="9"/>
      <c r="Y35" s="9"/>
    </row>
    <row r="36" spans="1:25" x14ac:dyDescent="0.3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8"/>
      <c r="R36" s="7"/>
      <c r="S36" s="9"/>
      <c r="T36" s="9"/>
      <c r="U36" s="9"/>
      <c r="V36" s="9"/>
      <c r="W36" s="9"/>
      <c r="X36" s="9"/>
      <c r="Y36" s="9"/>
    </row>
    <row r="37" spans="1:25" x14ac:dyDescent="0.3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8"/>
      <c r="R37" s="7"/>
      <c r="S37" s="9"/>
      <c r="T37" s="9"/>
      <c r="U37" s="9"/>
      <c r="V37" s="9"/>
      <c r="W37" s="9"/>
      <c r="X37" s="9"/>
      <c r="Y37" s="9"/>
    </row>
    <row r="38" spans="1:25" x14ac:dyDescent="0.3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8"/>
      <c r="R38" s="7"/>
      <c r="S38" s="9"/>
      <c r="T38" s="9"/>
      <c r="U38" s="9"/>
      <c r="V38" s="9"/>
      <c r="W38" s="9"/>
      <c r="X38" s="9"/>
      <c r="Y38" s="9"/>
    </row>
    <row r="39" spans="1:25" x14ac:dyDescent="0.3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8"/>
      <c r="R39" s="7"/>
      <c r="S39" s="8"/>
      <c r="T39" s="8"/>
      <c r="U39" s="8"/>
      <c r="V39" s="8"/>
      <c r="W39" s="8"/>
      <c r="X39" s="8"/>
    </row>
    <row r="40" spans="1:25" x14ac:dyDescent="0.3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8"/>
      <c r="R40" s="7"/>
      <c r="S40" s="13" t="s">
        <v>34</v>
      </c>
      <c r="T40" s="14"/>
      <c r="U40" s="14"/>
      <c r="V40" s="14"/>
      <c r="W40" s="7"/>
    </row>
    <row r="41" spans="1:25" ht="14.5" customHeight="1" x14ac:dyDescent="0.3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8"/>
      <c r="R41" s="7"/>
      <c r="S41" s="14"/>
      <c r="T41" s="14"/>
      <c r="U41" s="14"/>
      <c r="V41" s="14"/>
      <c r="W41" s="7"/>
    </row>
    <row r="42" spans="1:25" x14ac:dyDescent="0.3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8"/>
      <c r="R42" s="7"/>
      <c r="S42" s="9" t="s">
        <v>35</v>
      </c>
      <c r="T42" s="9"/>
      <c r="U42" s="9"/>
      <c r="V42" s="9"/>
      <c r="W42" s="9"/>
      <c r="X42" s="9"/>
      <c r="Y42" s="9"/>
    </row>
    <row r="43" spans="1:25" ht="14.5" customHeight="1" x14ac:dyDescent="0.3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8"/>
      <c r="R43" s="7"/>
      <c r="S43" s="9"/>
      <c r="T43" s="9"/>
      <c r="U43" s="9"/>
      <c r="V43" s="9"/>
      <c r="W43" s="9"/>
      <c r="X43" s="9"/>
      <c r="Y43" s="9"/>
    </row>
    <row r="44" spans="1:25" x14ac:dyDescent="0.3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8"/>
      <c r="R44" s="7"/>
      <c r="S44" s="9"/>
      <c r="T44" s="9"/>
      <c r="U44" s="9"/>
      <c r="V44" s="9"/>
      <c r="W44" s="9"/>
      <c r="X44" s="9"/>
      <c r="Y44" s="9"/>
    </row>
    <row r="45" spans="1:25" x14ac:dyDescent="0.3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8"/>
      <c r="R45" s="7"/>
      <c r="S45" s="9"/>
      <c r="T45" s="9"/>
      <c r="U45" s="9"/>
      <c r="V45" s="9"/>
      <c r="W45" s="9"/>
      <c r="X45" s="9"/>
      <c r="Y45" s="9"/>
    </row>
    <row r="46" spans="1:25" x14ac:dyDescent="0.3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8"/>
      <c r="R46" s="7"/>
      <c r="S46" s="9"/>
      <c r="T46" s="9"/>
      <c r="U46" s="9"/>
      <c r="V46" s="9"/>
      <c r="W46" s="9"/>
      <c r="X46" s="9"/>
      <c r="Y46" s="9"/>
    </row>
    <row r="47" spans="1:25" x14ac:dyDescent="0.3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8"/>
      <c r="R47" s="7"/>
      <c r="S47" s="9"/>
      <c r="T47" s="9"/>
      <c r="U47" s="9"/>
      <c r="V47" s="9"/>
      <c r="W47" s="9"/>
      <c r="X47" s="9"/>
      <c r="Y47" s="9"/>
    </row>
    <row r="48" spans="1:25" x14ac:dyDescent="0.3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8"/>
      <c r="R48" s="7"/>
      <c r="S48" s="9"/>
      <c r="T48" s="9"/>
      <c r="U48" s="9"/>
      <c r="V48" s="9"/>
      <c r="W48" s="9"/>
      <c r="X48" s="9"/>
      <c r="Y48" s="9"/>
    </row>
    <row r="49" spans="1:25" x14ac:dyDescent="0.3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8"/>
      <c r="R49" s="7"/>
      <c r="S49" s="9" t="s">
        <v>36</v>
      </c>
      <c r="T49" s="9"/>
      <c r="U49" s="9"/>
      <c r="V49" s="9"/>
      <c r="W49" s="9"/>
      <c r="X49" s="9"/>
      <c r="Y49" s="9"/>
    </row>
    <row r="50" spans="1:25" x14ac:dyDescent="0.3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8"/>
      <c r="R50" s="7"/>
      <c r="S50" s="9"/>
      <c r="T50" s="9"/>
      <c r="U50" s="9"/>
      <c r="V50" s="9"/>
      <c r="W50" s="9"/>
      <c r="X50" s="9"/>
      <c r="Y50" s="9"/>
    </row>
    <row r="51" spans="1:25" ht="14.5" customHeight="1" x14ac:dyDescent="0.3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8"/>
      <c r="R51" s="7"/>
      <c r="S51" s="9"/>
      <c r="T51" s="9"/>
      <c r="U51" s="9"/>
      <c r="V51" s="9"/>
      <c r="W51" s="9"/>
      <c r="X51" s="9"/>
      <c r="Y51" s="9"/>
    </row>
    <row r="52" spans="1:25" x14ac:dyDescent="0.3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8"/>
      <c r="S52" s="9"/>
      <c r="T52" s="9"/>
      <c r="U52" s="9"/>
      <c r="V52" s="9"/>
      <c r="W52" s="9"/>
      <c r="X52" s="9"/>
      <c r="Y52" s="9"/>
    </row>
    <row r="53" spans="1:25" x14ac:dyDescent="0.3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8"/>
      <c r="S53" s="9"/>
      <c r="T53" s="9"/>
      <c r="U53" s="9"/>
      <c r="V53" s="9"/>
      <c r="W53" s="9"/>
      <c r="X53" s="9"/>
      <c r="Y53" s="9"/>
    </row>
    <row r="54" spans="1:25" x14ac:dyDescent="0.3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S54" s="9"/>
      <c r="T54" s="9"/>
      <c r="U54" s="9"/>
      <c r="V54" s="9"/>
      <c r="W54" s="9"/>
      <c r="X54" s="9"/>
      <c r="Y54" s="9"/>
    </row>
    <row r="55" spans="1:25" x14ac:dyDescent="0.3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S55" s="9"/>
      <c r="T55" s="9"/>
      <c r="U55" s="9"/>
      <c r="V55" s="9"/>
      <c r="W55" s="9"/>
      <c r="X55" s="9"/>
      <c r="Y55" s="9"/>
    </row>
    <row r="56" spans="1:25" x14ac:dyDescent="0.35">
      <c r="S56" s="8"/>
      <c r="T56" s="8"/>
      <c r="U56" s="8"/>
      <c r="V56" s="8"/>
      <c r="W56" s="8"/>
      <c r="X56" s="8"/>
      <c r="Y56" s="8"/>
    </row>
    <row r="57" spans="1:25" x14ac:dyDescent="0.35">
      <c r="S57" s="8"/>
      <c r="T57" s="8"/>
      <c r="U57" s="8"/>
      <c r="V57" s="8"/>
      <c r="W57" s="8"/>
      <c r="X57" s="8"/>
      <c r="Y57" s="8"/>
    </row>
    <row r="70" spans="1:5" x14ac:dyDescent="0.35">
      <c r="A70" s="5" t="s">
        <v>14</v>
      </c>
      <c r="B70" s="5" t="s">
        <v>25</v>
      </c>
      <c r="C70" s="5" t="s">
        <v>26</v>
      </c>
      <c r="D70" s="5" t="s">
        <v>27</v>
      </c>
      <c r="E70" s="5" t="s">
        <v>28</v>
      </c>
    </row>
    <row r="71" spans="1:5" x14ac:dyDescent="0.35">
      <c r="A71" s="4" t="s">
        <v>16</v>
      </c>
      <c r="B71">
        <v>176874</v>
      </c>
      <c r="C71">
        <v>37040</v>
      </c>
      <c r="D71">
        <v>185850</v>
      </c>
      <c r="E71" s="2">
        <v>4.9713437289571081</v>
      </c>
    </row>
    <row r="72" spans="1:5" x14ac:dyDescent="0.35">
      <c r="A72" s="4" t="s">
        <v>17</v>
      </c>
      <c r="B72">
        <v>211484</v>
      </c>
      <c r="C72">
        <v>42560</v>
      </c>
      <c r="D72">
        <v>214200</v>
      </c>
      <c r="E72" s="2">
        <v>5.1590201370831155</v>
      </c>
    </row>
    <row r="73" spans="1:5" x14ac:dyDescent="0.35">
      <c r="A73" s="4" t="s">
        <v>18</v>
      </c>
      <c r="B73">
        <v>321020</v>
      </c>
      <c r="C73">
        <v>65410</v>
      </c>
      <c r="D73">
        <v>328600</v>
      </c>
      <c r="E73" s="2">
        <v>5.0026197961350451</v>
      </c>
    </row>
    <row r="74" spans="1:5" x14ac:dyDescent="0.35">
      <c r="A74" s="4" t="s">
        <v>19</v>
      </c>
      <c r="B74">
        <v>379240</v>
      </c>
      <c r="C74">
        <v>110300</v>
      </c>
      <c r="D74">
        <v>521200</v>
      </c>
      <c r="E74" s="2">
        <v>3.8975247548799703</v>
      </c>
    </row>
    <row r="75" spans="1:5" x14ac:dyDescent="0.35">
      <c r="A75" s="4" t="s">
        <v>20</v>
      </c>
      <c r="B75">
        <v>309240</v>
      </c>
      <c r="C75">
        <v>68200</v>
      </c>
      <c r="D75">
        <v>368900</v>
      </c>
      <c r="E75" s="2">
        <v>4.6450220824375688</v>
      </c>
    </row>
    <row r="76" spans="1:5" x14ac:dyDescent="0.35">
      <c r="A76" s="4" t="s">
        <v>21</v>
      </c>
      <c r="B76">
        <v>281786</v>
      </c>
      <c r="C76">
        <v>68320</v>
      </c>
      <c r="D76">
        <v>388600</v>
      </c>
      <c r="E76" s="2">
        <v>3.8992494335509993</v>
      </c>
    </row>
    <row r="77" spans="1:5" x14ac:dyDescent="0.35">
      <c r="A77" s="4" t="s">
        <v>22</v>
      </c>
      <c r="B77">
        <v>356360</v>
      </c>
      <c r="C77">
        <v>74400</v>
      </c>
      <c r="D77">
        <v>409200</v>
      </c>
      <c r="E77" s="2">
        <v>4.8878452279773779</v>
      </c>
    </row>
    <row r="78" spans="1:5" x14ac:dyDescent="0.35">
      <c r="A78" s="4" t="s">
        <v>23</v>
      </c>
      <c r="B78">
        <v>432454</v>
      </c>
      <c r="C78">
        <v>91060</v>
      </c>
      <c r="D78">
        <v>488200</v>
      </c>
      <c r="E78" s="2">
        <v>4.8096725382054029</v>
      </c>
    </row>
  </sheetData>
  <mergeCells count="11">
    <mergeCell ref="D5:G6"/>
    <mergeCell ref="P5:S6"/>
    <mergeCell ref="A27:Z28"/>
    <mergeCell ref="A1:Z3"/>
    <mergeCell ref="S49:Y55"/>
    <mergeCell ref="S31:V32"/>
    <mergeCell ref="A33:P53"/>
    <mergeCell ref="S33:Y38"/>
    <mergeCell ref="S42:Y48"/>
    <mergeCell ref="S40:V41"/>
    <mergeCell ref="A31:D3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7"/>
  <sheetViews>
    <sheetView zoomScale="101" workbookViewId="0">
      <selection activeCell="Q8" sqref="Q8"/>
    </sheetView>
  </sheetViews>
  <sheetFormatPr defaultRowHeight="14.5" x14ac:dyDescent="0.35"/>
  <cols>
    <col min="1" max="1" width="16.26953125" customWidth="1"/>
    <col min="3" max="3" width="9.6328125" customWidth="1"/>
    <col min="4" max="4" width="15.7265625" customWidth="1"/>
    <col min="5" max="5" width="9.6328125" customWidth="1"/>
    <col min="6" max="6" width="17.6328125" customWidth="1"/>
    <col min="7" max="7" width="13" customWidth="1"/>
    <col min="8" max="8" width="15.36328125" customWidth="1"/>
    <col min="9" max="9" width="15.81640625" customWidth="1"/>
    <col min="10" max="10" width="14.90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</v>
      </c>
      <c r="I1" t="s">
        <v>12</v>
      </c>
      <c r="J1" t="s">
        <v>13</v>
      </c>
      <c r="K1" t="s">
        <v>14</v>
      </c>
    </row>
    <row r="2" spans="1:11" x14ac:dyDescent="0.35">
      <c r="A2" s="1">
        <v>45759</v>
      </c>
      <c r="B2" t="s">
        <v>7</v>
      </c>
      <c r="C2" t="s">
        <v>8</v>
      </c>
      <c r="D2">
        <v>11500</v>
      </c>
      <c r="E2">
        <v>575</v>
      </c>
      <c r="F2">
        <v>3800</v>
      </c>
      <c r="G2">
        <v>16000</v>
      </c>
      <c r="H2">
        <f>Table1[[#This Row],[Gross_Revenue]]-Table1[[#This Row],[Refunds]]</f>
        <v>10925</v>
      </c>
      <c r="I2">
        <f>Table1[[#This Row],[Net_Revenue]]/Table1[[#This Row],[Marketing_Spend]]</f>
        <v>2.875</v>
      </c>
      <c r="J2">
        <f>Table1[[#This Row],[Marketing_Spend]]/Table1[[#This Row],[Web_Traffic]]</f>
        <v>0.23749999999999999</v>
      </c>
      <c r="K2" t="str">
        <f>TEXT(Table1[[#This Row],[Date]],"mmm")</f>
        <v>Apr</v>
      </c>
    </row>
    <row r="3" spans="1:11" x14ac:dyDescent="0.35">
      <c r="A3" s="1">
        <v>45758</v>
      </c>
      <c r="B3" t="s">
        <v>7</v>
      </c>
      <c r="C3" t="s">
        <v>8</v>
      </c>
      <c r="D3">
        <v>11000</v>
      </c>
      <c r="E3">
        <v>550</v>
      </c>
      <c r="F3">
        <v>3600</v>
      </c>
      <c r="G3">
        <v>15500</v>
      </c>
      <c r="H3">
        <f>Table1[[#This Row],[Gross_Revenue]]-Table1[[#This Row],[Refunds]]</f>
        <v>10450</v>
      </c>
      <c r="I3">
        <f>Table1[[#This Row],[Net_Revenue]]/Table1[[#This Row],[Marketing_Spend]]</f>
        <v>2.9027777777777777</v>
      </c>
      <c r="J3">
        <f>Table1[[#This Row],[Marketing_Spend]]/Table1[[#This Row],[Web_Traffic]]</f>
        <v>0.23225806451612904</v>
      </c>
      <c r="K3" t="str">
        <f>TEXT(Table1[[#This Row],[Date]],"mmm")</f>
        <v>Apr</v>
      </c>
    </row>
    <row r="4" spans="1:11" x14ac:dyDescent="0.35">
      <c r="A4" s="1">
        <v>45757</v>
      </c>
      <c r="B4" t="s">
        <v>7</v>
      </c>
      <c r="C4" t="s">
        <v>8</v>
      </c>
      <c r="D4">
        <v>10500</v>
      </c>
      <c r="E4">
        <v>525</v>
      </c>
      <c r="F4">
        <v>3500</v>
      </c>
      <c r="G4">
        <v>15000</v>
      </c>
      <c r="H4">
        <f>Table1[[#This Row],[Gross_Revenue]]-Table1[[#This Row],[Refunds]]</f>
        <v>9975</v>
      </c>
      <c r="I4">
        <f>Table1[[#This Row],[Net_Revenue]]/Table1[[#This Row],[Marketing_Spend]]</f>
        <v>2.85</v>
      </c>
      <c r="J4">
        <f>Table1[[#This Row],[Marketing_Spend]]/Table1[[#This Row],[Web_Traffic]]</f>
        <v>0.23333333333333334</v>
      </c>
      <c r="K4" t="str">
        <f>TEXT(Table1[[#This Row],[Date]],"mmm")</f>
        <v>Apr</v>
      </c>
    </row>
    <row r="5" spans="1:11" x14ac:dyDescent="0.35">
      <c r="A5" s="1">
        <v>45759</v>
      </c>
      <c r="B5" t="s">
        <v>9</v>
      </c>
      <c r="C5" t="s">
        <v>10</v>
      </c>
      <c r="D5">
        <v>10500</v>
      </c>
      <c r="E5">
        <v>525</v>
      </c>
      <c r="F5">
        <v>4200</v>
      </c>
      <c r="G5">
        <v>17500</v>
      </c>
      <c r="H5">
        <f>Table1[[#This Row],[Gross_Revenue]]-Table1[[#This Row],[Refunds]]</f>
        <v>9975</v>
      </c>
      <c r="I5">
        <f>Table1[[#This Row],[Net_Revenue]]/Table1[[#This Row],[Marketing_Spend]]</f>
        <v>2.375</v>
      </c>
      <c r="J5">
        <f>Table1[[#This Row],[Marketing_Spend]]/Table1[[#This Row],[Web_Traffic]]</f>
        <v>0.24</v>
      </c>
      <c r="K5" t="str">
        <f>TEXT(Table1[[#This Row],[Date]],"mmm")</f>
        <v>Apr</v>
      </c>
    </row>
    <row r="6" spans="1:11" x14ac:dyDescent="0.35">
      <c r="A6" s="1">
        <v>45758</v>
      </c>
      <c r="B6" t="s">
        <v>9</v>
      </c>
      <c r="C6" t="s">
        <v>10</v>
      </c>
      <c r="D6">
        <v>10200</v>
      </c>
      <c r="E6">
        <v>510</v>
      </c>
      <c r="F6">
        <v>4000</v>
      </c>
      <c r="G6">
        <v>17000</v>
      </c>
      <c r="H6">
        <f>Table1[[#This Row],[Gross_Revenue]]-Table1[[#This Row],[Refunds]]</f>
        <v>9690</v>
      </c>
      <c r="I6">
        <f>Table1[[#This Row],[Net_Revenue]]/Table1[[#This Row],[Marketing_Spend]]</f>
        <v>2.4224999999999999</v>
      </c>
      <c r="J6">
        <f>Table1[[#This Row],[Marketing_Spend]]/Table1[[#This Row],[Web_Traffic]]</f>
        <v>0.23529411764705882</v>
      </c>
      <c r="K6" t="str">
        <f>TEXT(Table1[[#This Row],[Date]],"mmm")</f>
        <v>Apr</v>
      </c>
    </row>
    <row r="7" spans="1:11" x14ac:dyDescent="0.35">
      <c r="A7" s="1">
        <v>45757</v>
      </c>
      <c r="B7" t="s">
        <v>9</v>
      </c>
      <c r="C7" t="s">
        <v>10</v>
      </c>
      <c r="D7">
        <v>9800</v>
      </c>
      <c r="E7">
        <v>490</v>
      </c>
      <c r="F7">
        <v>3800</v>
      </c>
      <c r="G7">
        <v>16500</v>
      </c>
      <c r="H7">
        <f>Table1[[#This Row],[Gross_Revenue]]-Table1[[#This Row],[Refunds]]</f>
        <v>9310</v>
      </c>
      <c r="I7">
        <f>Table1[[#This Row],[Net_Revenue]]/Table1[[#This Row],[Marketing_Spend]]</f>
        <v>2.4500000000000002</v>
      </c>
      <c r="J7">
        <f>Table1[[#This Row],[Marketing_Spend]]/Table1[[#This Row],[Web_Traffic]]</f>
        <v>0.23030303030303031</v>
      </c>
      <c r="K7" t="str">
        <f>TEXT(Table1[[#This Row],[Date]],"mmm")</f>
        <v>Apr</v>
      </c>
    </row>
    <row r="8" spans="1:11" x14ac:dyDescent="0.35">
      <c r="A8" s="1">
        <v>45756</v>
      </c>
      <c r="B8" t="s">
        <v>7</v>
      </c>
      <c r="C8" t="s">
        <v>8</v>
      </c>
      <c r="D8">
        <v>9500</v>
      </c>
      <c r="E8">
        <v>475</v>
      </c>
      <c r="F8">
        <v>3000</v>
      </c>
      <c r="G8">
        <v>14000</v>
      </c>
      <c r="H8">
        <f>Table1[[#This Row],[Gross_Revenue]]-Table1[[#This Row],[Refunds]]</f>
        <v>9025</v>
      </c>
      <c r="I8">
        <f>Table1[[#This Row],[Net_Revenue]]/Table1[[#This Row],[Marketing_Spend]]</f>
        <v>3.0083333333333333</v>
      </c>
      <c r="J8">
        <f>Table1[[#This Row],[Marketing_Spend]]/Table1[[#This Row],[Web_Traffic]]</f>
        <v>0.21428571428571427</v>
      </c>
      <c r="K8" t="str">
        <f>TEXT(Table1[[#This Row],[Date]],"mmm")</f>
        <v>Apr</v>
      </c>
    </row>
    <row r="9" spans="1:11" x14ac:dyDescent="0.35">
      <c r="A9" s="1">
        <v>45755</v>
      </c>
      <c r="B9" t="s">
        <v>7</v>
      </c>
      <c r="C9" t="s">
        <v>8</v>
      </c>
      <c r="D9">
        <v>9200</v>
      </c>
      <c r="E9">
        <v>460</v>
      </c>
      <c r="F9">
        <v>2800</v>
      </c>
      <c r="G9">
        <v>13000</v>
      </c>
      <c r="H9">
        <f>Table1[[#This Row],[Gross_Revenue]]-Table1[[#This Row],[Refunds]]</f>
        <v>8740</v>
      </c>
      <c r="I9">
        <f>Table1[[#This Row],[Net_Revenue]]/Table1[[#This Row],[Marketing_Spend]]</f>
        <v>3.1214285714285714</v>
      </c>
      <c r="J9">
        <f>Table1[[#This Row],[Marketing_Spend]]/Table1[[#This Row],[Web_Traffic]]</f>
        <v>0.2153846153846154</v>
      </c>
      <c r="K9" t="str">
        <f>TEXT(Table1[[#This Row],[Date]],"mmm")</f>
        <v>Apr</v>
      </c>
    </row>
    <row r="10" spans="1:11" x14ac:dyDescent="0.35">
      <c r="A10" s="1">
        <v>45756</v>
      </c>
      <c r="B10" t="s">
        <v>9</v>
      </c>
      <c r="C10" t="s">
        <v>10</v>
      </c>
      <c r="D10">
        <v>9100</v>
      </c>
      <c r="E10">
        <v>455</v>
      </c>
      <c r="F10">
        <v>3300</v>
      </c>
      <c r="G10">
        <v>15500</v>
      </c>
      <c r="H10">
        <f>Table1[[#This Row],[Gross_Revenue]]-Table1[[#This Row],[Refunds]]</f>
        <v>8645</v>
      </c>
      <c r="I10">
        <f>Table1[[#This Row],[Net_Revenue]]/Table1[[#This Row],[Marketing_Spend]]</f>
        <v>2.6196969696969696</v>
      </c>
      <c r="J10">
        <f>Table1[[#This Row],[Marketing_Spend]]/Table1[[#This Row],[Web_Traffic]]</f>
        <v>0.2129032258064516</v>
      </c>
      <c r="K10" t="str">
        <f>TEXT(Table1[[#This Row],[Date]],"mmm")</f>
        <v>Apr</v>
      </c>
    </row>
    <row r="11" spans="1:11" x14ac:dyDescent="0.35">
      <c r="A11" s="1">
        <v>45760</v>
      </c>
      <c r="B11" t="s">
        <v>7</v>
      </c>
      <c r="C11" t="s">
        <v>8</v>
      </c>
      <c r="D11">
        <v>9000</v>
      </c>
      <c r="E11">
        <v>450</v>
      </c>
      <c r="F11">
        <v>3000</v>
      </c>
      <c r="G11">
        <v>14000</v>
      </c>
      <c r="H11">
        <f>Table1[[#This Row],[Gross_Revenue]]-Table1[[#This Row],[Refunds]]</f>
        <v>8550</v>
      </c>
      <c r="I11">
        <f>Table1[[#This Row],[Net_Revenue]]/Table1[[#This Row],[Marketing_Spend]]</f>
        <v>2.85</v>
      </c>
      <c r="J11">
        <f>Table1[[#This Row],[Marketing_Spend]]/Table1[[#This Row],[Web_Traffic]]</f>
        <v>0.21428571428571427</v>
      </c>
      <c r="K11" t="str">
        <f>TEXT(Table1[[#This Row],[Date]],"mmm")</f>
        <v>Apr</v>
      </c>
    </row>
    <row r="12" spans="1:11" x14ac:dyDescent="0.35">
      <c r="A12" s="1">
        <v>45755</v>
      </c>
      <c r="B12" t="s">
        <v>9</v>
      </c>
      <c r="C12" t="s">
        <v>10</v>
      </c>
      <c r="D12">
        <v>8800</v>
      </c>
      <c r="E12">
        <v>440</v>
      </c>
      <c r="F12">
        <v>3100</v>
      </c>
      <c r="G12">
        <v>14500</v>
      </c>
      <c r="H12">
        <f>Table1[[#This Row],[Gross_Revenue]]-Table1[[#This Row],[Refunds]]</f>
        <v>8360</v>
      </c>
      <c r="I12">
        <f>Table1[[#This Row],[Net_Revenue]]/Table1[[#This Row],[Marketing_Spend]]</f>
        <v>2.6967741935483871</v>
      </c>
      <c r="J12">
        <f>Table1[[#This Row],[Marketing_Spend]]/Table1[[#This Row],[Web_Traffic]]</f>
        <v>0.21379310344827587</v>
      </c>
      <c r="K12" t="str">
        <f>TEXT(Table1[[#This Row],[Date]],"mmm")</f>
        <v>Apr</v>
      </c>
    </row>
    <row r="13" spans="1:11" x14ac:dyDescent="0.35">
      <c r="A13" s="1">
        <v>45754</v>
      </c>
      <c r="B13" t="s">
        <v>7</v>
      </c>
      <c r="C13" t="s">
        <v>8</v>
      </c>
      <c r="D13">
        <v>8500</v>
      </c>
      <c r="E13">
        <v>425</v>
      </c>
      <c r="F13">
        <v>2500</v>
      </c>
      <c r="G13">
        <v>12000</v>
      </c>
      <c r="H13">
        <f>Table1[[#This Row],[Gross_Revenue]]-Table1[[#This Row],[Refunds]]</f>
        <v>8075</v>
      </c>
      <c r="I13">
        <f>Table1[[#This Row],[Net_Revenue]]/Table1[[#This Row],[Marketing_Spend]]</f>
        <v>3.23</v>
      </c>
      <c r="J13">
        <f>Table1[[#This Row],[Marketing_Spend]]/Table1[[#This Row],[Web_Traffic]]</f>
        <v>0.20833333333333334</v>
      </c>
      <c r="K13" t="str">
        <f>TEXT(Table1[[#This Row],[Date]],"mmm")</f>
        <v>Apr</v>
      </c>
    </row>
    <row r="14" spans="1:11" x14ac:dyDescent="0.35">
      <c r="A14" s="1">
        <v>45760</v>
      </c>
      <c r="B14" t="s">
        <v>9</v>
      </c>
      <c r="C14" t="s">
        <v>10</v>
      </c>
      <c r="D14">
        <v>8500</v>
      </c>
      <c r="E14">
        <v>425</v>
      </c>
      <c r="F14">
        <v>3500</v>
      </c>
      <c r="G14">
        <v>15000</v>
      </c>
      <c r="H14">
        <f>Table1[[#This Row],[Gross_Revenue]]-Table1[[#This Row],[Refunds]]</f>
        <v>8075</v>
      </c>
      <c r="I14">
        <f>Table1[[#This Row],[Net_Revenue]]/Table1[[#This Row],[Marketing_Spend]]</f>
        <v>2.3071428571428569</v>
      </c>
      <c r="J14">
        <f>Table1[[#This Row],[Marketing_Spend]]/Table1[[#This Row],[Web_Traffic]]</f>
        <v>0.23333333333333334</v>
      </c>
      <c r="K14" t="str">
        <f>TEXT(Table1[[#This Row],[Date]],"mmm")</f>
        <v>Apr</v>
      </c>
    </row>
    <row r="15" spans="1:11" x14ac:dyDescent="0.35">
      <c r="A15" s="1">
        <v>45896</v>
      </c>
      <c r="B15" t="s">
        <v>7</v>
      </c>
      <c r="C15" t="s">
        <v>8</v>
      </c>
      <c r="D15">
        <v>8350</v>
      </c>
      <c r="E15">
        <v>417</v>
      </c>
      <c r="F15">
        <v>1470</v>
      </c>
      <c r="G15">
        <v>8050</v>
      </c>
      <c r="H15">
        <f>Table1[[#This Row],[Gross_Revenue]]-Table1[[#This Row],[Refunds]]</f>
        <v>7933</v>
      </c>
      <c r="I15">
        <f>Table1[[#This Row],[Net_Revenue]]/Table1[[#This Row],[Marketing_Spend]]</f>
        <v>5.3965986394557826</v>
      </c>
      <c r="J15">
        <f>Table1[[#This Row],[Marketing_Spend]]/Table1[[#This Row],[Web_Traffic]]</f>
        <v>0.18260869565217391</v>
      </c>
      <c r="K15" t="str">
        <f>TEXT(Table1[[#This Row],[Date]],"mmm")</f>
        <v>Aug</v>
      </c>
    </row>
    <row r="16" spans="1:11" x14ac:dyDescent="0.35">
      <c r="A16" s="1">
        <v>45895</v>
      </c>
      <c r="B16" t="s">
        <v>7</v>
      </c>
      <c r="C16" t="s">
        <v>8</v>
      </c>
      <c r="D16">
        <v>8300</v>
      </c>
      <c r="E16">
        <v>415</v>
      </c>
      <c r="F16">
        <v>1460</v>
      </c>
      <c r="G16">
        <v>8000</v>
      </c>
      <c r="H16">
        <f>Table1[[#This Row],[Gross_Revenue]]-Table1[[#This Row],[Refunds]]</f>
        <v>7885</v>
      </c>
      <c r="I16">
        <f>Table1[[#This Row],[Net_Revenue]]/Table1[[#This Row],[Marketing_Spend]]</f>
        <v>5.4006849315068495</v>
      </c>
      <c r="J16">
        <f>Table1[[#This Row],[Marketing_Spend]]/Table1[[#This Row],[Web_Traffic]]</f>
        <v>0.1825</v>
      </c>
      <c r="K16" t="str">
        <f>TEXT(Table1[[#This Row],[Date]],"mmm")</f>
        <v>Aug</v>
      </c>
    </row>
    <row r="17" spans="1:11" x14ac:dyDescent="0.35">
      <c r="A17" s="1">
        <v>45894</v>
      </c>
      <c r="B17" t="s">
        <v>7</v>
      </c>
      <c r="C17" t="s">
        <v>8</v>
      </c>
      <c r="D17">
        <v>8250</v>
      </c>
      <c r="E17">
        <v>412</v>
      </c>
      <c r="F17">
        <v>1450</v>
      </c>
      <c r="G17">
        <v>7950</v>
      </c>
      <c r="H17">
        <f>Table1[[#This Row],[Gross_Revenue]]-Table1[[#This Row],[Refunds]]</f>
        <v>7838</v>
      </c>
      <c r="I17">
        <f>Table1[[#This Row],[Net_Revenue]]/Table1[[#This Row],[Marketing_Spend]]</f>
        <v>5.40551724137931</v>
      </c>
      <c r="J17">
        <f>Table1[[#This Row],[Marketing_Spend]]/Table1[[#This Row],[Web_Traffic]]</f>
        <v>0.18238993710691823</v>
      </c>
      <c r="K17" t="str">
        <f>TEXT(Table1[[#This Row],[Date]],"mmm")</f>
        <v>Aug</v>
      </c>
    </row>
    <row r="18" spans="1:11" x14ac:dyDescent="0.35">
      <c r="A18" s="1">
        <v>45893</v>
      </c>
      <c r="B18" t="s">
        <v>7</v>
      </c>
      <c r="C18" t="s">
        <v>8</v>
      </c>
      <c r="D18">
        <v>8200</v>
      </c>
      <c r="E18">
        <v>410</v>
      </c>
      <c r="F18">
        <v>1440</v>
      </c>
      <c r="G18">
        <v>7900</v>
      </c>
      <c r="H18">
        <f>Table1[[#This Row],[Gross_Revenue]]-Table1[[#This Row],[Refunds]]</f>
        <v>7790</v>
      </c>
      <c r="I18">
        <f>Table1[[#This Row],[Net_Revenue]]/Table1[[#This Row],[Marketing_Spend]]</f>
        <v>5.4097222222222223</v>
      </c>
      <c r="J18">
        <f>Table1[[#This Row],[Marketing_Spend]]/Table1[[#This Row],[Web_Traffic]]</f>
        <v>0.18227848101265823</v>
      </c>
      <c r="K18" t="str">
        <f>TEXT(Table1[[#This Row],[Date]],"mmm")</f>
        <v>Aug</v>
      </c>
    </row>
    <row r="19" spans="1:11" x14ac:dyDescent="0.35">
      <c r="A19" s="1">
        <v>45892</v>
      </c>
      <c r="B19" t="s">
        <v>7</v>
      </c>
      <c r="C19" t="s">
        <v>8</v>
      </c>
      <c r="D19">
        <v>8150</v>
      </c>
      <c r="E19">
        <v>407</v>
      </c>
      <c r="F19">
        <v>1430</v>
      </c>
      <c r="G19">
        <v>7850</v>
      </c>
      <c r="H19">
        <f>Table1[[#This Row],[Gross_Revenue]]-Table1[[#This Row],[Refunds]]</f>
        <v>7743</v>
      </c>
      <c r="I19">
        <f>Table1[[#This Row],[Net_Revenue]]/Table1[[#This Row],[Marketing_Spend]]</f>
        <v>5.4146853146853147</v>
      </c>
      <c r="J19">
        <f>Table1[[#This Row],[Marketing_Spend]]/Table1[[#This Row],[Web_Traffic]]</f>
        <v>0.18216560509554139</v>
      </c>
      <c r="K19" t="str">
        <f>TEXT(Table1[[#This Row],[Date]],"mmm")</f>
        <v>Aug</v>
      </c>
    </row>
    <row r="20" spans="1:11" x14ac:dyDescent="0.35">
      <c r="A20" s="1">
        <v>45754</v>
      </c>
      <c r="B20" t="s">
        <v>9</v>
      </c>
      <c r="C20" t="s">
        <v>10</v>
      </c>
      <c r="D20">
        <v>8100</v>
      </c>
      <c r="E20">
        <v>405</v>
      </c>
      <c r="F20">
        <v>2800</v>
      </c>
      <c r="G20">
        <v>13000</v>
      </c>
      <c r="H20">
        <f>Table1[[#This Row],[Gross_Revenue]]-Table1[[#This Row],[Refunds]]</f>
        <v>7695</v>
      </c>
      <c r="I20">
        <f>Table1[[#This Row],[Net_Revenue]]/Table1[[#This Row],[Marketing_Spend]]</f>
        <v>2.7482142857142855</v>
      </c>
      <c r="J20">
        <f>Table1[[#This Row],[Marketing_Spend]]/Table1[[#This Row],[Web_Traffic]]</f>
        <v>0.2153846153846154</v>
      </c>
      <c r="K20" t="str">
        <f>TEXT(Table1[[#This Row],[Date]],"mmm")</f>
        <v>Apr</v>
      </c>
    </row>
    <row r="21" spans="1:11" x14ac:dyDescent="0.35">
      <c r="A21" s="1">
        <v>45891</v>
      </c>
      <c r="B21" t="s">
        <v>7</v>
      </c>
      <c r="C21" t="s">
        <v>8</v>
      </c>
      <c r="D21">
        <v>8100</v>
      </c>
      <c r="E21">
        <v>405</v>
      </c>
      <c r="F21">
        <v>1420</v>
      </c>
      <c r="G21">
        <v>7800</v>
      </c>
      <c r="H21">
        <f>Table1[[#This Row],[Gross_Revenue]]-Table1[[#This Row],[Refunds]]</f>
        <v>7695</v>
      </c>
      <c r="I21">
        <f>Table1[[#This Row],[Net_Revenue]]/Table1[[#This Row],[Marketing_Spend]]</f>
        <v>5.419014084507042</v>
      </c>
      <c r="J21">
        <f>Table1[[#This Row],[Marketing_Spend]]/Table1[[#This Row],[Web_Traffic]]</f>
        <v>0.18205128205128204</v>
      </c>
      <c r="K21" t="str">
        <f>TEXT(Table1[[#This Row],[Date]],"mmm")</f>
        <v>Aug</v>
      </c>
    </row>
    <row r="22" spans="1:11" x14ac:dyDescent="0.35">
      <c r="A22" s="1">
        <v>45890</v>
      </c>
      <c r="B22" t="s">
        <v>7</v>
      </c>
      <c r="C22" t="s">
        <v>8</v>
      </c>
      <c r="D22">
        <v>8050</v>
      </c>
      <c r="E22">
        <v>402</v>
      </c>
      <c r="F22">
        <v>1410</v>
      </c>
      <c r="G22">
        <v>7750</v>
      </c>
      <c r="H22">
        <f>Table1[[#This Row],[Gross_Revenue]]-Table1[[#This Row],[Refunds]]</f>
        <v>7648</v>
      </c>
      <c r="I22">
        <f>Table1[[#This Row],[Net_Revenue]]/Table1[[#This Row],[Marketing_Spend]]</f>
        <v>5.4241134751773048</v>
      </c>
      <c r="J22">
        <f>Table1[[#This Row],[Marketing_Spend]]/Table1[[#This Row],[Web_Traffic]]</f>
        <v>0.18193548387096775</v>
      </c>
      <c r="K22" t="str">
        <f>TEXT(Table1[[#This Row],[Date]],"mmm")</f>
        <v>Aug</v>
      </c>
    </row>
    <row r="23" spans="1:11" x14ac:dyDescent="0.35">
      <c r="A23" s="1">
        <v>45753</v>
      </c>
      <c r="B23" t="s">
        <v>7</v>
      </c>
      <c r="C23" t="s">
        <v>8</v>
      </c>
      <c r="D23">
        <v>8000</v>
      </c>
      <c r="E23">
        <v>400</v>
      </c>
      <c r="F23">
        <v>2200</v>
      </c>
      <c r="G23">
        <v>10000</v>
      </c>
      <c r="H23">
        <f>Table1[[#This Row],[Gross_Revenue]]-Table1[[#This Row],[Refunds]]</f>
        <v>7600</v>
      </c>
      <c r="I23">
        <f>Table1[[#This Row],[Net_Revenue]]/Table1[[#This Row],[Marketing_Spend]]</f>
        <v>3.4545454545454546</v>
      </c>
      <c r="J23">
        <f>Table1[[#This Row],[Marketing_Spend]]/Table1[[#This Row],[Web_Traffic]]</f>
        <v>0.22</v>
      </c>
      <c r="K23" t="str">
        <f>TEXT(Table1[[#This Row],[Date]],"mmm")</f>
        <v>Apr</v>
      </c>
    </row>
    <row r="24" spans="1:11" x14ac:dyDescent="0.35">
      <c r="A24" s="1">
        <v>45761</v>
      </c>
      <c r="B24" t="s">
        <v>7</v>
      </c>
      <c r="C24" t="s">
        <v>8</v>
      </c>
      <c r="D24">
        <v>8000</v>
      </c>
      <c r="E24">
        <v>400</v>
      </c>
      <c r="F24">
        <v>2500</v>
      </c>
      <c r="G24">
        <v>12000</v>
      </c>
      <c r="H24">
        <f>Table1[[#This Row],[Gross_Revenue]]-Table1[[#This Row],[Refunds]]</f>
        <v>7600</v>
      </c>
      <c r="I24">
        <f>Table1[[#This Row],[Net_Revenue]]/Table1[[#This Row],[Marketing_Spend]]</f>
        <v>3.04</v>
      </c>
      <c r="J24">
        <f>Table1[[#This Row],[Marketing_Spend]]/Table1[[#This Row],[Web_Traffic]]</f>
        <v>0.20833333333333334</v>
      </c>
      <c r="K24" t="str">
        <f>TEXT(Table1[[#This Row],[Date]],"mmm")</f>
        <v>Apr</v>
      </c>
    </row>
    <row r="25" spans="1:11" x14ac:dyDescent="0.35">
      <c r="A25" s="1">
        <v>45889</v>
      </c>
      <c r="B25" t="s">
        <v>7</v>
      </c>
      <c r="C25" t="s">
        <v>8</v>
      </c>
      <c r="D25">
        <v>8000</v>
      </c>
      <c r="E25">
        <v>400</v>
      </c>
      <c r="F25">
        <v>1400</v>
      </c>
      <c r="G25">
        <v>7700</v>
      </c>
      <c r="H25">
        <f>Table1[[#This Row],[Gross_Revenue]]-Table1[[#This Row],[Refunds]]</f>
        <v>7600</v>
      </c>
      <c r="I25">
        <f>Table1[[#This Row],[Net_Revenue]]/Table1[[#This Row],[Marketing_Spend]]</f>
        <v>5.4285714285714288</v>
      </c>
      <c r="J25">
        <f>Table1[[#This Row],[Marketing_Spend]]/Table1[[#This Row],[Web_Traffic]]</f>
        <v>0.18181818181818182</v>
      </c>
      <c r="K25" t="str">
        <f>TEXT(Table1[[#This Row],[Date]],"mmm")</f>
        <v>Aug</v>
      </c>
    </row>
    <row r="26" spans="1:11" x14ac:dyDescent="0.35">
      <c r="A26" s="1">
        <v>45888</v>
      </c>
      <c r="B26" t="s">
        <v>7</v>
      </c>
      <c r="C26" t="s">
        <v>8</v>
      </c>
      <c r="D26">
        <v>7950</v>
      </c>
      <c r="E26">
        <v>397</v>
      </c>
      <c r="F26">
        <v>1390</v>
      </c>
      <c r="G26">
        <v>7650</v>
      </c>
      <c r="H26">
        <f>Table1[[#This Row],[Gross_Revenue]]-Table1[[#This Row],[Refunds]]</f>
        <v>7553</v>
      </c>
      <c r="I26">
        <f>Table1[[#This Row],[Net_Revenue]]/Table1[[#This Row],[Marketing_Spend]]</f>
        <v>5.4338129496402878</v>
      </c>
      <c r="J26">
        <f>Table1[[#This Row],[Marketing_Spend]]/Table1[[#This Row],[Web_Traffic]]</f>
        <v>0.18169934640522875</v>
      </c>
      <c r="K26" t="str">
        <f>TEXT(Table1[[#This Row],[Date]],"mmm")</f>
        <v>Aug</v>
      </c>
    </row>
    <row r="27" spans="1:11" x14ac:dyDescent="0.35">
      <c r="A27" s="1">
        <v>45896</v>
      </c>
      <c r="B27" t="s">
        <v>9</v>
      </c>
      <c r="C27" t="s">
        <v>10</v>
      </c>
      <c r="D27">
        <v>7950</v>
      </c>
      <c r="E27">
        <v>397</v>
      </c>
      <c r="F27">
        <v>1770</v>
      </c>
      <c r="G27">
        <v>9350</v>
      </c>
      <c r="H27">
        <f>Table1[[#This Row],[Gross_Revenue]]-Table1[[#This Row],[Refunds]]</f>
        <v>7553</v>
      </c>
      <c r="I27">
        <f>Table1[[#This Row],[Net_Revenue]]/Table1[[#This Row],[Marketing_Spend]]</f>
        <v>4.2672316384180791</v>
      </c>
      <c r="J27">
        <f>Table1[[#This Row],[Marketing_Spend]]/Table1[[#This Row],[Web_Traffic]]</f>
        <v>0.1893048128342246</v>
      </c>
      <c r="K27" t="str">
        <f>TEXT(Table1[[#This Row],[Date]],"mmm")</f>
        <v>Aug</v>
      </c>
    </row>
    <row r="28" spans="1:11" x14ac:dyDescent="0.35">
      <c r="A28" s="1">
        <v>45887</v>
      </c>
      <c r="B28" t="s">
        <v>7</v>
      </c>
      <c r="C28" t="s">
        <v>8</v>
      </c>
      <c r="D28">
        <v>7900</v>
      </c>
      <c r="E28">
        <v>395</v>
      </c>
      <c r="F28">
        <v>1380</v>
      </c>
      <c r="G28">
        <v>7600</v>
      </c>
      <c r="H28">
        <f>Table1[[#This Row],[Gross_Revenue]]-Table1[[#This Row],[Refunds]]</f>
        <v>7505</v>
      </c>
      <c r="I28">
        <f>Table1[[#This Row],[Net_Revenue]]/Table1[[#This Row],[Marketing_Spend]]</f>
        <v>5.4384057971014492</v>
      </c>
      <c r="J28">
        <f>Table1[[#This Row],[Marketing_Spend]]/Table1[[#This Row],[Web_Traffic]]</f>
        <v>0.18157894736842106</v>
      </c>
      <c r="K28" t="str">
        <f>TEXT(Table1[[#This Row],[Date]],"mmm")</f>
        <v>Aug</v>
      </c>
    </row>
    <row r="29" spans="1:11" x14ac:dyDescent="0.35">
      <c r="A29" s="1">
        <v>45895</v>
      </c>
      <c r="B29" t="s">
        <v>9</v>
      </c>
      <c r="C29" t="s">
        <v>10</v>
      </c>
      <c r="D29">
        <v>7900</v>
      </c>
      <c r="E29">
        <v>395</v>
      </c>
      <c r="F29">
        <v>1760</v>
      </c>
      <c r="G29">
        <v>9300</v>
      </c>
      <c r="H29">
        <f>Table1[[#This Row],[Gross_Revenue]]-Table1[[#This Row],[Refunds]]</f>
        <v>7505</v>
      </c>
      <c r="I29">
        <f>Table1[[#This Row],[Net_Revenue]]/Table1[[#This Row],[Marketing_Spend]]</f>
        <v>4.2642045454545459</v>
      </c>
      <c r="J29">
        <f>Table1[[#This Row],[Marketing_Spend]]/Table1[[#This Row],[Web_Traffic]]</f>
        <v>0.18924731182795698</v>
      </c>
      <c r="K29" t="str">
        <f>TEXT(Table1[[#This Row],[Date]],"mmm")</f>
        <v>Aug</v>
      </c>
    </row>
    <row r="30" spans="1:11" x14ac:dyDescent="0.35">
      <c r="A30" s="1">
        <v>45886</v>
      </c>
      <c r="B30" t="s">
        <v>7</v>
      </c>
      <c r="C30" t="s">
        <v>8</v>
      </c>
      <c r="D30">
        <v>7850</v>
      </c>
      <c r="E30">
        <v>392</v>
      </c>
      <c r="F30">
        <v>1370</v>
      </c>
      <c r="G30">
        <v>7550</v>
      </c>
      <c r="H30">
        <f>Table1[[#This Row],[Gross_Revenue]]-Table1[[#This Row],[Refunds]]</f>
        <v>7458</v>
      </c>
      <c r="I30">
        <f>Table1[[#This Row],[Net_Revenue]]/Table1[[#This Row],[Marketing_Spend]]</f>
        <v>5.4437956204379558</v>
      </c>
      <c r="J30">
        <f>Table1[[#This Row],[Marketing_Spend]]/Table1[[#This Row],[Web_Traffic]]</f>
        <v>0.18145695364238409</v>
      </c>
      <c r="K30" t="str">
        <f>TEXT(Table1[[#This Row],[Date]],"mmm")</f>
        <v>Aug</v>
      </c>
    </row>
    <row r="31" spans="1:11" x14ac:dyDescent="0.35">
      <c r="A31" s="1">
        <v>45894</v>
      </c>
      <c r="B31" t="s">
        <v>9</v>
      </c>
      <c r="C31" t="s">
        <v>10</v>
      </c>
      <c r="D31">
        <v>7850</v>
      </c>
      <c r="E31">
        <v>392</v>
      </c>
      <c r="F31">
        <v>1750</v>
      </c>
      <c r="G31">
        <v>9250</v>
      </c>
      <c r="H31">
        <f>Table1[[#This Row],[Gross_Revenue]]-Table1[[#This Row],[Refunds]]</f>
        <v>7458</v>
      </c>
      <c r="I31">
        <f>Table1[[#This Row],[Net_Revenue]]/Table1[[#This Row],[Marketing_Spend]]</f>
        <v>4.2617142857142856</v>
      </c>
      <c r="J31">
        <f>Table1[[#This Row],[Marketing_Spend]]/Table1[[#This Row],[Web_Traffic]]</f>
        <v>0.1891891891891892</v>
      </c>
      <c r="K31" t="str">
        <f>TEXT(Table1[[#This Row],[Date]],"mmm")</f>
        <v>Aug</v>
      </c>
    </row>
    <row r="32" spans="1:11" x14ac:dyDescent="0.35">
      <c r="A32" s="1">
        <v>45885</v>
      </c>
      <c r="B32" t="s">
        <v>7</v>
      </c>
      <c r="C32" t="s">
        <v>8</v>
      </c>
      <c r="D32">
        <v>7800</v>
      </c>
      <c r="E32">
        <v>390</v>
      </c>
      <c r="F32">
        <v>1360</v>
      </c>
      <c r="G32">
        <v>7500</v>
      </c>
      <c r="H32">
        <f>Table1[[#This Row],[Gross_Revenue]]-Table1[[#This Row],[Refunds]]</f>
        <v>7410</v>
      </c>
      <c r="I32">
        <f>Table1[[#This Row],[Net_Revenue]]/Table1[[#This Row],[Marketing_Spend]]</f>
        <v>5.4485294117647056</v>
      </c>
      <c r="J32">
        <f>Table1[[#This Row],[Marketing_Spend]]/Table1[[#This Row],[Web_Traffic]]</f>
        <v>0.18133333333333335</v>
      </c>
      <c r="K32" t="str">
        <f>TEXT(Table1[[#This Row],[Date]],"mmm")</f>
        <v>Aug</v>
      </c>
    </row>
    <row r="33" spans="1:11" x14ac:dyDescent="0.35">
      <c r="A33" s="1">
        <v>45893</v>
      </c>
      <c r="B33" t="s">
        <v>9</v>
      </c>
      <c r="C33" t="s">
        <v>10</v>
      </c>
      <c r="D33">
        <v>7800</v>
      </c>
      <c r="E33">
        <v>390</v>
      </c>
      <c r="F33">
        <v>1740</v>
      </c>
      <c r="G33">
        <v>9200</v>
      </c>
      <c r="H33">
        <f>Table1[[#This Row],[Gross_Revenue]]-Table1[[#This Row],[Refunds]]</f>
        <v>7410</v>
      </c>
      <c r="I33">
        <f>Table1[[#This Row],[Net_Revenue]]/Table1[[#This Row],[Marketing_Spend]]</f>
        <v>4.2586206896551726</v>
      </c>
      <c r="J33">
        <f>Table1[[#This Row],[Marketing_Spend]]/Table1[[#This Row],[Web_Traffic]]</f>
        <v>0.18913043478260869</v>
      </c>
      <c r="K33" t="str">
        <f>TEXT(Table1[[#This Row],[Date]],"mmm")</f>
        <v>Aug</v>
      </c>
    </row>
    <row r="34" spans="1:11" x14ac:dyDescent="0.35">
      <c r="A34" s="1">
        <v>45884</v>
      </c>
      <c r="B34" t="s">
        <v>7</v>
      </c>
      <c r="C34" t="s">
        <v>8</v>
      </c>
      <c r="D34">
        <v>7750</v>
      </c>
      <c r="E34">
        <v>387</v>
      </c>
      <c r="F34">
        <v>1350</v>
      </c>
      <c r="G34">
        <v>7450</v>
      </c>
      <c r="H34">
        <f>Table1[[#This Row],[Gross_Revenue]]-Table1[[#This Row],[Refunds]]</f>
        <v>7363</v>
      </c>
      <c r="I34">
        <f>Table1[[#This Row],[Net_Revenue]]/Table1[[#This Row],[Marketing_Spend]]</f>
        <v>5.4540740740740743</v>
      </c>
      <c r="J34">
        <f>Table1[[#This Row],[Marketing_Spend]]/Table1[[#This Row],[Web_Traffic]]</f>
        <v>0.18120805369127516</v>
      </c>
      <c r="K34" t="str">
        <f>TEXT(Table1[[#This Row],[Date]],"mmm")</f>
        <v>Aug</v>
      </c>
    </row>
    <row r="35" spans="1:11" x14ac:dyDescent="0.35">
      <c r="A35" s="1">
        <v>45892</v>
      </c>
      <c r="B35" t="s">
        <v>9</v>
      </c>
      <c r="C35" t="s">
        <v>10</v>
      </c>
      <c r="D35">
        <v>7750</v>
      </c>
      <c r="E35">
        <v>387</v>
      </c>
      <c r="F35">
        <v>1730</v>
      </c>
      <c r="G35">
        <v>9150</v>
      </c>
      <c r="H35">
        <f>Table1[[#This Row],[Gross_Revenue]]-Table1[[#This Row],[Refunds]]</f>
        <v>7363</v>
      </c>
      <c r="I35">
        <f>Table1[[#This Row],[Net_Revenue]]/Table1[[#This Row],[Marketing_Spend]]</f>
        <v>4.2560693641618501</v>
      </c>
      <c r="J35">
        <f>Table1[[#This Row],[Marketing_Spend]]/Table1[[#This Row],[Web_Traffic]]</f>
        <v>0.18907103825136612</v>
      </c>
      <c r="K35" t="str">
        <f>TEXT(Table1[[#This Row],[Date]],"mmm")</f>
        <v>Aug</v>
      </c>
    </row>
    <row r="36" spans="1:11" x14ac:dyDescent="0.35">
      <c r="A36" s="1">
        <v>45883</v>
      </c>
      <c r="B36" t="s">
        <v>7</v>
      </c>
      <c r="C36" t="s">
        <v>8</v>
      </c>
      <c r="D36">
        <v>7700</v>
      </c>
      <c r="E36">
        <v>385</v>
      </c>
      <c r="F36">
        <v>1340</v>
      </c>
      <c r="G36">
        <v>7400</v>
      </c>
      <c r="H36">
        <f>Table1[[#This Row],[Gross_Revenue]]-Table1[[#This Row],[Refunds]]</f>
        <v>7315</v>
      </c>
      <c r="I36">
        <f>Table1[[#This Row],[Net_Revenue]]/Table1[[#This Row],[Marketing_Spend]]</f>
        <v>5.4589552238805972</v>
      </c>
      <c r="J36">
        <f>Table1[[#This Row],[Marketing_Spend]]/Table1[[#This Row],[Web_Traffic]]</f>
        <v>0.18108108108108109</v>
      </c>
      <c r="K36" t="str">
        <f>TEXT(Table1[[#This Row],[Date]],"mmm")</f>
        <v>Aug</v>
      </c>
    </row>
    <row r="37" spans="1:11" x14ac:dyDescent="0.35">
      <c r="A37" s="1">
        <v>45891</v>
      </c>
      <c r="B37" t="s">
        <v>9</v>
      </c>
      <c r="C37" t="s">
        <v>10</v>
      </c>
      <c r="D37">
        <v>7700</v>
      </c>
      <c r="E37">
        <v>385</v>
      </c>
      <c r="F37">
        <v>1720</v>
      </c>
      <c r="G37">
        <v>9100</v>
      </c>
      <c r="H37">
        <f>Table1[[#This Row],[Gross_Revenue]]-Table1[[#This Row],[Refunds]]</f>
        <v>7315</v>
      </c>
      <c r="I37">
        <f>Table1[[#This Row],[Net_Revenue]]/Table1[[#This Row],[Marketing_Spend]]</f>
        <v>4.2529069767441863</v>
      </c>
      <c r="J37">
        <f>Table1[[#This Row],[Marketing_Spend]]/Table1[[#This Row],[Web_Traffic]]</f>
        <v>0.18901098901098901</v>
      </c>
      <c r="K37" t="str">
        <f>TEXT(Table1[[#This Row],[Date]],"mmm")</f>
        <v>Aug</v>
      </c>
    </row>
    <row r="38" spans="1:11" x14ac:dyDescent="0.35">
      <c r="A38" s="1">
        <v>45882</v>
      </c>
      <c r="B38" t="s">
        <v>7</v>
      </c>
      <c r="C38" t="s">
        <v>8</v>
      </c>
      <c r="D38">
        <v>7650</v>
      </c>
      <c r="E38">
        <v>382</v>
      </c>
      <c r="F38">
        <v>1330</v>
      </c>
      <c r="G38">
        <v>7350</v>
      </c>
      <c r="H38">
        <f>Table1[[#This Row],[Gross_Revenue]]-Table1[[#This Row],[Refunds]]</f>
        <v>7268</v>
      </c>
      <c r="I38">
        <f>Table1[[#This Row],[Net_Revenue]]/Table1[[#This Row],[Marketing_Spend]]</f>
        <v>5.4646616541353383</v>
      </c>
      <c r="J38">
        <f>Table1[[#This Row],[Marketing_Spend]]/Table1[[#This Row],[Web_Traffic]]</f>
        <v>0.18095238095238095</v>
      </c>
      <c r="K38" t="str">
        <f>TEXT(Table1[[#This Row],[Date]],"mmm")</f>
        <v>Aug</v>
      </c>
    </row>
    <row r="39" spans="1:11" x14ac:dyDescent="0.35">
      <c r="A39" s="1">
        <v>45890</v>
      </c>
      <c r="B39" t="s">
        <v>9</v>
      </c>
      <c r="C39" t="s">
        <v>10</v>
      </c>
      <c r="D39">
        <v>7650</v>
      </c>
      <c r="E39">
        <v>382</v>
      </c>
      <c r="F39">
        <v>1710</v>
      </c>
      <c r="G39">
        <v>9050</v>
      </c>
      <c r="H39">
        <f>Table1[[#This Row],[Gross_Revenue]]-Table1[[#This Row],[Refunds]]</f>
        <v>7268</v>
      </c>
      <c r="I39">
        <f>Table1[[#This Row],[Net_Revenue]]/Table1[[#This Row],[Marketing_Spend]]</f>
        <v>4.2502923976608189</v>
      </c>
      <c r="J39">
        <f>Table1[[#This Row],[Marketing_Spend]]/Table1[[#This Row],[Web_Traffic]]</f>
        <v>0.18895027624309393</v>
      </c>
      <c r="K39" t="str">
        <f>TEXT(Table1[[#This Row],[Date]],"mmm")</f>
        <v>Aug</v>
      </c>
    </row>
    <row r="40" spans="1:11" x14ac:dyDescent="0.35">
      <c r="A40" s="1">
        <v>45753</v>
      </c>
      <c r="B40" t="s">
        <v>9</v>
      </c>
      <c r="C40" t="s">
        <v>10</v>
      </c>
      <c r="D40">
        <v>7600</v>
      </c>
      <c r="E40">
        <v>380</v>
      </c>
      <c r="F40">
        <v>2500</v>
      </c>
      <c r="G40">
        <v>11000</v>
      </c>
      <c r="H40">
        <f>Table1[[#This Row],[Gross_Revenue]]-Table1[[#This Row],[Refunds]]</f>
        <v>7220</v>
      </c>
      <c r="I40">
        <f>Table1[[#This Row],[Net_Revenue]]/Table1[[#This Row],[Marketing_Spend]]</f>
        <v>2.8879999999999999</v>
      </c>
      <c r="J40">
        <f>Table1[[#This Row],[Marketing_Spend]]/Table1[[#This Row],[Web_Traffic]]</f>
        <v>0.22727272727272727</v>
      </c>
      <c r="K40" t="str">
        <f>TEXT(Table1[[#This Row],[Date]],"mmm")</f>
        <v>Apr</v>
      </c>
    </row>
    <row r="41" spans="1:11" x14ac:dyDescent="0.35">
      <c r="A41" s="1">
        <v>45881</v>
      </c>
      <c r="B41" t="s">
        <v>7</v>
      </c>
      <c r="C41" t="s">
        <v>8</v>
      </c>
      <c r="D41">
        <v>7600</v>
      </c>
      <c r="E41">
        <v>380</v>
      </c>
      <c r="F41">
        <v>1320</v>
      </c>
      <c r="G41">
        <v>7300</v>
      </c>
      <c r="H41">
        <f>Table1[[#This Row],[Gross_Revenue]]-Table1[[#This Row],[Refunds]]</f>
        <v>7220</v>
      </c>
      <c r="I41">
        <f>Table1[[#This Row],[Net_Revenue]]/Table1[[#This Row],[Marketing_Spend]]</f>
        <v>5.4696969696969697</v>
      </c>
      <c r="J41">
        <f>Table1[[#This Row],[Marketing_Spend]]/Table1[[#This Row],[Web_Traffic]]</f>
        <v>0.18082191780821918</v>
      </c>
      <c r="K41" t="str">
        <f>TEXT(Table1[[#This Row],[Date]],"mmm")</f>
        <v>Aug</v>
      </c>
    </row>
    <row r="42" spans="1:11" x14ac:dyDescent="0.35">
      <c r="A42" s="1">
        <v>45889</v>
      </c>
      <c r="B42" t="s">
        <v>9</v>
      </c>
      <c r="C42" t="s">
        <v>10</v>
      </c>
      <c r="D42">
        <v>7600</v>
      </c>
      <c r="E42">
        <v>380</v>
      </c>
      <c r="F42">
        <v>1700</v>
      </c>
      <c r="G42">
        <v>9000</v>
      </c>
      <c r="H42">
        <f>Table1[[#This Row],[Gross_Revenue]]-Table1[[#This Row],[Refunds]]</f>
        <v>7220</v>
      </c>
      <c r="I42">
        <f>Table1[[#This Row],[Net_Revenue]]/Table1[[#This Row],[Marketing_Spend]]</f>
        <v>4.2470588235294118</v>
      </c>
      <c r="J42">
        <f>Table1[[#This Row],[Marketing_Spend]]/Table1[[#This Row],[Web_Traffic]]</f>
        <v>0.18888888888888888</v>
      </c>
      <c r="K42" t="str">
        <f>TEXT(Table1[[#This Row],[Date]],"mmm")</f>
        <v>Aug</v>
      </c>
    </row>
    <row r="43" spans="1:11" x14ac:dyDescent="0.35">
      <c r="A43" s="1">
        <v>45880</v>
      </c>
      <c r="B43" t="s">
        <v>7</v>
      </c>
      <c r="C43" t="s">
        <v>8</v>
      </c>
      <c r="D43">
        <v>7550</v>
      </c>
      <c r="E43">
        <v>377</v>
      </c>
      <c r="F43">
        <v>1310</v>
      </c>
      <c r="G43">
        <v>7250</v>
      </c>
      <c r="H43">
        <f>Table1[[#This Row],[Gross_Revenue]]-Table1[[#This Row],[Refunds]]</f>
        <v>7173</v>
      </c>
      <c r="I43">
        <f>Table1[[#This Row],[Net_Revenue]]/Table1[[#This Row],[Marketing_Spend]]</f>
        <v>5.4755725190839692</v>
      </c>
      <c r="J43">
        <f>Table1[[#This Row],[Marketing_Spend]]/Table1[[#This Row],[Web_Traffic]]</f>
        <v>0.18068965517241378</v>
      </c>
      <c r="K43" t="str">
        <f>TEXT(Table1[[#This Row],[Date]],"mmm")</f>
        <v>Aug</v>
      </c>
    </row>
    <row r="44" spans="1:11" x14ac:dyDescent="0.35">
      <c r="A44" s="1">
        <v>45888</v>
      </c>
      <c r="B44" t="s">
        <v>9</v>
      </c>
      <c r="C44" t="s">
        <v>10</v>
      </c>
      <c r="D44">
        <v>7550</v>
      </c>
      <c r="E44">
        <v>377</v>
      </c>
      <c r="F44">
        <v>1690</v>
      </c>
      <c r="G44">
        <v>8950</v>
      </c>
      <c r="H44">
        <f>Table1[[#This Row],[Gross_Revenue]]-Table1[[#This Row],[Refunds]]</f>
        <v>7173</v>
      </c>
      <c r="I44">
        <f>Table1[[#This Row],[Net_Revenue]]/Table1[[#This Row],[Marketing_Spend]]</f>
        <v>4.2443786982248524</v>
      </c>
      <c r="J44">
        <f>Table1[[#This Row],[Marketing_Spend]]/Table1[[#This Row],[Web_Traffic]]</f>
        <v>0.1888268156424581</v>
      </c>
      <c r="K44" t="str">
        <f>TEXT(Table1[[#This Row],[Date]],"mmm")</f>
        <v>Aug</v>
      </c>
    </row>
    <row r="45" spans="1:11" x14ac:dyDescent="0.35">
      <c r="A45" s="1">
        <v>45752</v>
      </c>
      <c r="B45" t="s">
        <v>7</v>
      </c>
      <c r="C45" t="s">
        <v>8</v>
      </c>
      <c r="D45">
        <v>7500</v>
      </c>
      <c r="E45">
        <v>375</v>
      </c>
      <c r="F45">
        <v>1800</v>
      </c>
      <c r="G45">
        <v>8000</v>
      </c>
      <c r="H45">
        <f>Table1[[#This Row],[Gross_Revenue]]-Table1[[#This Row],[Refunds]]</f>
        <v>7125</v>
      </c>
      <c r="I45">
        <f>Table1[[#This Row],[Net_Revenue]]/Table1[[#This Row],[Marketing_Spend]]</f>
        <v>3.9583333333333335</v>
      </c>
      <c r="J45">
        <f>Table1[[#This Row],[Marketing_Spend]]/Table1[[#This Row],[Web_Traffic]]</f>
        <v>0.22500000000000001</v>
      </c>
      <c r="K45" t="str">
        <f>TEXT(Table1[[#This Row],[Date]],"mmm")</f>
        <v>Apr</v>
      </c>
    </row>
    <row r="46" spans="1:11" x14ac:dyDescent="0.35">
      <c r="A46" s="1">
        <v>45761</v>
      </c>
      <c r="B46" t="s">
        <v>9</v>
      </c>
      <c r="C46" t="s">
        <v>10</v>
      </c>
      <c r="D46">
        <v>7500</v>
      </c>
      <c r="E46">
        <v>375</v>
      </c>
      <c r="F46">
        <v>3000</v>
      </c>
      <c r="G46">
        <v>13000</v>
      </c>
      <c r="H46">
        <f>Table1[[#This Row],[Gross_Revenue]]-Table1[[#This Row],[Refunds]]</f>
        <v>7125</v>
      </c>
      <c r="I46">
        <f>Table1[[#This Row],[Net_Revenue]]/Table1[[#This Row],[Marketing_Spend]]</f>
        <v>2.375</v>
      </c>
      <c r="J46">
        <f>Table1[[#This Row],[Marketing_Spend]]/Table1[[#This Row],[Web_Traffic]]</f>
        <v>0.23076923076923078</v>
      </c>
      <c r="K46" t="str">
        <f>TEXT(Table1[[#This Row],[Date]],"mmm")</f>
        <v>Apr</v>
      </c>
    </row>
    <row r="47" spans="1:11" x14ac:dyDescent="0.35">
      <c r="A47" s="1">
        <v>45879</v>
      </c>
      <c r="B47" t="s">
        <v>7</v>
      </c>
      <c r="C47" t="s">
        <v>8</v>
      </c>
      <c r="D47">
        <v>7500</v>
      </c>
      <c r="E47">
        <v>375</v>
      </c>
      <c r="F47">
        <v>1300</v>
      </c>
      <c r="G47">
        <v>7200</v>
      </c>
      <c r="H47">
        <f>Table1[[#This Row],[Gross_Revenue]]-Table1[[#This Row],[Refunds]]</f>
        <v>7125</v>
      </c>
      <c r="I47">
        <f>Table1[[#This Row],[Net_Revenue]]/Table1[[#This Row],[Marketing_Spend]]</f>
        <v>5.4807692307692308</v>
      </c>
      <c r="J47">
        <f>Table1[[#This Row],[Marketing_Spend]]/Table1[[#This Row],[Web_Traffic]]</f>
        <v>0.18055555555555555</v>
      </c>
      <c r="K47" t="str">
        <f>TEXT(Table1[[#This Row],[Date]],"mmm")</f>
        <v>Aug</v>
      </c>
    </row>
    <row r="48" spans="1:11" x14ac:dyDescent="0.35">
      <c r="A48" s="1">
        <v>45887</v>
      </c>
      <c r="B48" t="s">
        <v>9</v>
      </c>
      <c r="C48" t="s">
        <v>10</v>
      </c>
      <c r="D48">
        <v>7500</v>
      </c>
      <c r="E48">
        <v>375</v>
      </c>
      <c r="F48">
        <v>1680</v>
      </c>
      <c r="G48">
        <v>8900</v>
      </c>
      <c r="H48">
        <f>Table1[[#This Row],[Gross_Revenue]]-Table1[[#This Row],[Refunds]]</f>
        <v>7125</v>
      </c>
      <c r="I48">
        <f>Table1[[#This Row],[Net_Revenue]]/Table1[[#This Row],[Marketing_Spend]]</f>
        <v>4.2410714285714288</v>
      </c>
      <c r="J48">
        <f>Table1[[#This Row],[Marketing_Spend]]/Table1[[#This Row],[Web_Traffic]]</f>
        <v>0.18876404494382024</v>
      </c>
      <c r="K48" t="str">
        <f>TEXT(Table1[[#This Row],[Date]],"mmm")</f>
        <v>Aug</v>
      </c>
    </row>
    <row r="49" spans="1:11" x14ac:dyDescent="0.35">
      <c r="A49" s="1">
        <v>45878</v>
      </c>
      <c r="B49" t="s">
        <v>7</v>
      </c>
      <c r="C49" t="s">
        <v>8</v>
      </c>
      <c r="D49">
        <v>7450</v>
      </c>
      <c r="E49">
        <v>372</v>
      </c>
      <c r="F49">
        <v>1290</v>
      </c>
      <c r="G49">
        <v>7150</v>
      </c>
      <c r="H49">
        <f>Table1[[#This Row],[Gross_Revenue]]-Table1[[#This Row],[Refunds]]</f>
        <v>7078</v>
      </c>
      <c r="I49">
        <f>Table1[[#This Row],[Net_Revenue]]/Table1[[#This Row],[Marketing_Spend]]</f>
        <v>5.4868217054263564</v>
      </c>
      <c r="J49">
        <f>Table1[[#This Row],[Marketing_Spend]]/Table1[[#This Row],[Web_Traffic]]</f>
        <v>0.18041958041958042</v>
      </c>
      <c r="K49" t="str">
        <f>TEXT(Table1[[#This Row],[Date]],"mmm")</f>
        <v>Aug</v>
      </c>
    </row>
    <row r="50" spans="1:11" x14ac:dyDescent="0.35">
      <c r="A50" s="1">
        <v>45886</v>
      </c>
      <c r="B50" t="s">
        <v>9</v>
      </c>
      <c r="C50" t="s">
        <v>10</v>
      </c>
      <c r="D50">
        <v>7450</v>
      </c>
      <c r="E50">
        <v>372</v>
      </c>
      <c r="F50">
        <v>1670</v>
      </c>
      <c r="G50">
        <v>8850</v>
      </c>
      <c r="H50">
        <f>Table1[[#This Row],[Gross_Revenue]]-Table1[[#This Row],[Refunds]]</f>
        <v>7078</v>
      </c>
      <c r="I50">
        <f>Table1[[#This Row],[Net_Revenue]]/Table1[[#This Row],[Marketing_Spend]]</f>
        <v>4.2383233532934135</v>
      </c>
      <c r="J50">
        <f>Table1[[#This Row],[Marketing_Spend]]/Table1[[#This Row],[Web_Traffic]]</f>
        <v>0.18870056497175142</v>
      </c>
      <c r="K50" t="str">
        <f>TEXT(Table1[[#This Row],[Date]],"mmm")</f>
        <v>Aug</v>
      </c>
    </row>
    <row r="51" spans="1:11" x14ac:dyDescent="0.35">
      <c r="A51" s="1">
        <v>45877</v>
      </c>
      <c r="B51" t="s">
        <v>7</v>
      </c>
      <c r="C51" t="s">
        <v>8</v>
      </c>
      <c r="D51">
        <v>7400</v>
      </c>
      <c r="E51">
        <v>370</v>
      </c>
      <c r="F51">
        <v>1280</v>
      </c>
      <c r="G51">
        <v>7100</v>
      </c>
      <c r="H51">
        <f>Table1[[#This Row],[Gross_Revenue]]-Table1[[#This Row],[Refunds]]</f>
        <v>7030</v>
      </c>
      <c r="I51">
        <f>Table1[[#This Row],[Net_Revenue]]/Table1[[#This Row],[Marketing_Spend]]</f>
        <v>5.4921875</v>
      </c>
      <c r="J51">
        <f>Table1[[#This Row],[Marketing_Spend]]/Table1[[#This Row],[Web_Traffic]]</f>
        <v>0.18028169014084508</v>
      </c>
      <c r="K51" t="str">
        <f>TEXT(Table1[[#This Row],[Date]],"mmm")</f>
        <v>Aug</v>
      </c>
    </row>
    <row r="52" spans="1:11" x14ac:dyDescent="0.35">
      <c r="A52" s="1">
        <v>45885</v>
      </c>
      <c r="B52" t="s">
        <v>9</v>
      </c>
      <c r="C52" t="s">
        <v>10</v>
      </c>
      <c r="D52">
        <v>7400</v>
      </c>
      <c r="E52">
        <v>370</v>
      </c>
      <c r="F52">
        <v>1660</v>
      </c>
      <c r="G52">
        <v>8800</v>
      </c>
      <c r="H52">
        <f>Table1[[#This Row],[Gross_Revenue]]-Table1[[#This Row],[Refunds]]</f>
        <v>7030</v>
      </c>
      <c r="I52">
        <f>Table1[[#This Row],[Net_Revenue]]/Table1[[#This Row],[Marketing_Spend]]</f>
        <v>4.2349397590361448</v>
      </c>
      <c r="J52">
        <f>Table1[[#This Row],[Marketing_Spend]]/Table1[[#This Row],[Web_Traffic]]</f>
        <v>0.18863636363636363</v>
      </c>
      <c r="K52" t="str">
        <f>TEXT(Table1[[#This Row],[Date]],"mmm")</f>
        <v>Aug</v>
      </c>
    </row>
    <row r="53" spans="1:11" x14ac:dyDescent="0.35">
      <c r="A53" s="1">
        <v>45876</v>
      </c>
      <c r="B53" t="s">
        <v>7</v>
      </c>
      <c r="C53" t="s">
        <v>8</v>
      </c>
      <c r="D53">
        <v>7350</v>
      </c>
      <c r="E53">
        <v>367</v>
      </c>
      <c r="F53">
        <v>1270</v>
      </c>
      <c r="G53">
        <v>7050</v>
      </c>
      <c r="H53">
        <f>Table1[[#This Row],[Gross_Revenue]]-Table1[[#This Row],[Refunds]]</f>
        <v>6983</v>
      </c>
      <c r="I53">
        <f>Table1[[#This Row],[Net_Revenue]]/Table1[[#This Row],[Marketing_Spend]]</f>
        <v>5.4984251968503939</v>
      </c>
      <c r="J53">
        <f>Table1[[#This Row],[Marketing_Spend]]/Table1[[#This Row],[Web_Traffic]]</f>
        <v>0.18014184397163122</v>
      </c>
      <c r="K53" t="str">
        <f>TEXT(Table1[[#This Row],[Date]],"mmm")</f>
        <v>Aug</v>
      </c>
    </row>
    <row r="54" spans="1:11" x14ac:dyDescent="0.35">
      <c r="A54" s="1">
        <v>45884</v>
      </c>
      <c r="B54" t="s">
        <v>9</v>
      </c>
      <c r="C54" t="s">
        <v>10</v>
      </c>
      <c r="D54">
        <v>7350</v>
      </c>
      <c r="E54">
        <v>367</v>
      </c>
      <c r="F54">
        <v>1650</v>
      </c>
      <c r="G54">
        <v>8750</v>
      </c>
      <c r="H54">
        <f>Table1[[#This Row],[Gross_Revenue]]-Table1[[#This Row],[Refunds]]</f>
        <v>6983</v>
      </c>
      <c r="I54">
        <f>Table1[[#This Row],[Net_Revenue]]/Table1[[#This Row],[Marketing_Spend]]</f>
        <v>4.2321212121212124</v>
      </c>
      <c r="J54">
        <f>Table1[[#This Row],[Marketing_Spend]]/Table1[[#This Row],[Web_Traffic]]</f>
        <v>0.18857142857142858</v>
      </c>
      <c r="K54" t="str">
        <f>TEXT(Table1[[#This Row],[Date]],"mmm")</f>
        <v>Aug</v>
      </c>
    </row>
    <row r="55" spans="1:11" x14ac:dyDescent="0.35">
      <c r="A55" s="1">
        <v>45875</v>
      </c>
      <c r="B55" t="s">
        <v>7</v>
      </c>
      <c r="C55" t="s">
        <v>8</v>
      </c>
      <c r="D55">
        <v>7300</v>
      </c>
      <c r="E55">
        <v>365</v>
      </c>
      <c r="F55">
        <v>1260</v>
      </c>
      <c r="G55">
        <v>7000</v>
      </c>
      <c r="H55">
        <f>Table1[[#This Row],[Gross_Revenue]]-Table1[[#This Row],[Refunds]]</f>
        <v>6935</v>
      </c>
      <c r="I55">
        <f>Table1[[#This Row],[Net_Revenue]]/Table1[[#This Row],[Marketing_Spend]]</f>
        <v>5.503968253968254</v>
      </c>
      <c r="J55">
        <f>Table1[[#This Row],[Marketing_Spend]]/Table1[[#This Row],[Web_Traffic]]</f>
        <v>0.18</v>
      </c>
      <c r="K55" t="str">
        <f>TEXT(Table1[[#This Row],[Date]],"mmm")</f>
        <v>Aug</v>
      </c>
    </row>
    <row r="56" spans="1:11" x14ac:dyDescent="0.35">
      <c r="A56" s="1">
        <v>45883</v>
      </c>
      <c r="B56" t="s">
        <v>9</v>
      </c>
      <c r="C56" t="s">
        <v>10</v>
      </c>
      <c r="D56">
        <v>7300</v>
      </c>
      <c r="E56">
        <v>365</v>
      </c>
      <c r="F56">
        <v>1640</v>
      </c>
      <c r="G56">
        <v>8700</v>
      </c>
      <c r="H56">
        <f>Table1[[#This Row],[Gross_Revenue]]-Table1[[#This Row],[Refunds]]</f>
        <v>6935</v>
      </c>
      <c r="I56">
        <f>Table1[[#This Row],[Net_Revenue]]/Table1[[#This Row],[Marketing_Spend]]</f>
        <v>4.2286585365853657</v>
      </c>
      <c r="J56">
        <f>Table1[[#This Row],[Marketing_Spend]]/Table1[[#This Row],[Web_Traffic]]</f>
        <v>0.18850574712643678</v>
      </c>
      <c r="K56" t="str">
        <f>TEXT(Table1[[#This Row],[Date]],"mmm")</f>
        <v>Aug</v>
      </c>
    </row>
    <row r="57" spans="1:11" x14ac:dyDescent="0.35">
      <c r="A57" s="1">
        <v>45874</v>
      </c>
      <c r="B57" t="s">
        <v>7</v>
      </c>
      <c r="C57" t="s">
        <v>8</v>
      </c>
      <c r="D57">
        <v>7250</v>
      </c>
      <c r="E57">
        <v>362</v>
      </c>
      <c r="F57">
        <v>1250</v>
      </c>
      <c r="G57">
        <v>6950</v>
      </c>
      <c r="H57">
        <f>Table1[[#This Row],[Gross_Revenue]]-Table1[[#This Row],[Refunds]]</f>
        <v>6888</v>
      </c>
      <c r="I57">
        <f>Table1[[#This Row],[Net_Revenue]]/Table1[[#This Row],[Marketing_Spend]]</f>
        <v>5.5103999999999997</v>
      </c>
      <c r="J57">
        <f>Table1[[#This Row],[Marketing_Spend]]/Table1[[#This Row],[Web_Traffic]]</f>
        <v>0.17985611510791366</v>
      </c>
      <c r="K57" t="str">
        <f>TEXT(Table1[[#This Row],[Date]],"mmm")</f>
        <v>Aug</v>
      </c>
    </row>
    <row r="58" spans="1:11" x14ac:dyDescent="0.35">
      <c r="A58" s="1">
        <v>45882</v>
      </c>
      <c r="B58" t="s">
        <v>9</v>
      </c>
      <c r="C58" t="s">
        <v>10</v>
      </c>
      <c r="D58">
        <v>7250</v>
      </c>
      <c r="E58">
        <v>362</v>
      </c>
      <c r="F58">
        <v>1630</v>
      </c>
      <c r="G58">
        <v>8650</v>
      </c>
      <c r="H58">
        <f>Table1[[#This Row],[Gross_Revenue]]-Table1[[#This Row],[Refunds]]</f>
        <v>6888</v>
      </c>
      <c r="I58">
        <f>Table1[[#This Row],[Net_Revenue]]/Table1[[#This Row],[Marketing_Spend]]</f>
        <v>4.2257668711656438</v>
      </c>
      <c r="J58">
        <f>Table1[[#This Row],[Marketing_Spend]]/Table1[[#This Row],[Web_Traffic]]</f>
        <v>0.18843930635838149</v>
      </c>
      <c r="K58" t="str">
        <f>TEXT(Table1[[#This Row],[Date]],"mmm")</f>
        <v>Aug</v>
      </c>
    </row>
    <row r="59" spans="1:11" x14ac:dyDescent="0.35">
      <c r="A59" s="1">
        <v>45873</v>
      </c>
      <c r="B59" t="s">
        <v>7</v>
      </c>
      <c r="C59" t="s">
        <v>8</v>
      </c>
      <c r="D59">
        <v>7200</v>
      </c>
      <c r="E59">
        <v>360</v>
      </c>
      <c r="F59">
        <v>1240</v>
      </c>
      <c r="G59">
        <v>6900</v>
      </c>
      <c r="H59">
        <f>Table1[[#This Row],[Gross_Revenue]]-Table1[[#This Row],[Refunds]]</f>
        <v>6840</v>
      </c>
      <c r="I59">
        <f>Table1[[#This Row],[Net_Revenue]]/Table1[[#This Row],[Marketing_Spend]]</f>
        <v>5.5161290322580649</v>
      </c>
      <c r="J59">
        <f>Table1[[#This Row],[Marketing_Spend]]/Table1[[#This Row],[Web_Traffic]]</f>
        <v>0.17971014492753623</v>
      </c>
      <c r="K59" t="str">
        <f>TEXT(Table1[[#This Row],[Date]],"mmm")</f>
        <v>Aug</v>
      </c>
    </row>
    <row r="60" spans="1:11" x14ac:dyDescent="0.35">
      <c r="A60" s="1">
        <v>45881</v>
      </c>
      <c r="B60" t="s">
        <v>9</v>
      </c>
      <c r="C60" t="s">
        <v>10</v>
      </c>
      <c r="D60">
        <v>7200</v>
      </c>
      <c r="E60">
        <v>360</v>
      </c>
      <c r="F60">
        <v>1620</v>
      </c>
      <c r="G60">
        <v>8600</v>
      </c>
      <c r="H60">
        <f>Table1[[#This Row],[Gross_Revenue]]-Table1[[#This Row],[Refunds]]</f>
        <v>6840</v>
      </c>
      <c r="I60">
        <f>Table1[[#This Row],[Net_Revenue]]/Table1[[#This Row],[Marketing_Spend]]</f>
        <v>4.2222222222222223</v>
      </c>
      <c r="J60">
        <f>Table1[[#This Row],[Marketing_Spend]]/Table1[[#This Row],[Web_Traffic]]</f>
        <v>0.1883720930232558</v>
      </c>
      <c r="K60" t="str">
        <f>TEXT(Table1[[#This Row],[Date]],"mmm")</f>
        <v>Aug</v>
      </c>
    </row>
    <row r="61" spans="1:11" x14ac:dyDescent="0.35">
      <c r="A61" s="1">
        <v>45872</v>
      </c>
      <c r="B61" t="s">
        <v>7</v>
      </c>
      <c r="C61" t="s">
        <v>8</v>
      </c>
      <c r="D61">
        <v>7150</v>
      </c>
      <c r="E61">
        <v>357</v>
      </c>
      <c r="F61">
        <v>1230</v>
      </c>
      <c r="G61">
        <v>6850</v>
      </c>
      <c r="H61">
        <f>Table1[[#This Row],[Gross_Revenue]]-Table1[[#This Row],[Refunds]]</f>
        <v>6793</v>
      </c>
      <c r="I61">
        <f>Table1[[#This Row],[Net_Revenue]]/Table1[[#This Row],[Marketing_Spend]]</f>
        <v>5.5227642276422761</v>
      </c>
      <c r="J61">
        <f>Table1[[#This Row],[Marketing_Spend]]/Table1[[#This Row],[Web_Traffic]]</f>
        <v>0.17956204379562044</v>
      </c>
      <c r="K61" t="str">
        <f>TEXT(Table1[[#This Row],[Date]],"mmm")</f>
        <v>Aug</v>
      </c>
    </row>
    <row r="62" spans="1:11" x14ac:dyDescent="0.35">
      <c r="A62" s="1">
        <v>45880</v>
      </c>
      <c r="B62" t="s">
        <v>9</v>
      </c>
      <c r="C62" t="s">
        <v>10</v>
      </c>
      <c r="D62">
        <v>7150</v>
      </c>
      <c r="E62">
        <v>357</v>
      </c>
      <c r="F62">
        <v>1610</v>
      </c>
      <c r="G62">
        <v>8550</v>
      </c>
      <c r="H62">
        <f>Table1[[#This Row],[Gross_Revenue]]-Table1[[#This Row],[Refunds]]</f>
        <v>6793</v>
      </c>
      <c r="I62">
        <f>Table1[[#This Row],[Net_Revenue]]/Table1[[#This Row],[Marketing_Spend]]</f>
        <v>4.2192546583850934</v>
      </c>
      <c r="J62">
        <f>Table1[[#This Row],[Marketing_Spend]]/Table1[[#This Row],[Web_Traffic]]</f>
        <v>0.18830409356725147</v>
      </c>
      <c r="K62" t="str">
        <f>TEXT(Table1[[#This Row],[Date]],"mmm")</f>
        <v>Aug</v>
      </c>
    </row>
    <row r="63" spans="1:11" x14ac:dyDescent="0.35">
      <c r="A63" s="1">
        <v>45752</v>
      </c>
      <c r="B63" t="s">
        <v>9</v>
      </c>
      <c r="C63" t="s">
        <v>10</v>
      </c>
      <c r="D63">
        <v>7100</v>
      </c>
      <c r="E63">
        <v>355</v>
      </c>
      <c r="F63">
        <v>2100</v>
      </c>
      <c r="G63">
        <v>9100</v>
      </c>
      <c r="H63">
        <f>Table1[[#This Row],[Gross_Revenue]]-Table1[[#This Row],[Refunds]]</f>
        <v>6745</v>
      </c>
      <c r="I63">
        <f>Table1[[#This Row],[Net_Revenue]]/Table1[[#This Row],[Marketing_Spend]]</f>
        <v>3.211904761904762</v>
      </c>
      <c r="J63">
        <f>Table1[[#This Row],[Marketing_Spend]]/Table1[[#This Row],[Web_Traffic]]</f>
        <v>0.23076923076923078</v>
      </c>
      <c r="K63" t="str">
        <f>TEXT(Table1[[#This Row],[Date]],"mmm")</f>
        <v>Apr</v>
      </c>
    </row>
    <row r="64" spans="1:11" x14ac:dyDescent="0.35">
      <c r="A64" s="1">
        <v>45871</v>
      </c>
      <c r="B64" t="s">
        <v>7</v>
      </c>
      <c r="C64" t="s">
        <v>8</v>
      </c>
      <c r="D64">
        <v>7100</v>
      </c>
      <c r="E64">
        <v>355</v>
      </c>
      <c r="F64">
        <v>1220</v>
      </c>
      <c r="G64">
        <v>6800</v>
      </c>
      <c r="H64">
        <f>Table1[[#This Row],[Gross_Revenue]]-Table1[[#This Row],[Refunds]]</f>
        <v>6745</v>
      </c>
      <c r="I64">
        <f>Table1[[#This Row],[Net_Revenue]]/Table1[[#This Row],[Marketing_Spend]]</f>
        <v>5.528688524590164</v>
      </c>
      <c r="J64">
        <f>Table1[[#This Row],[Marketing_Spend]]/Table1[[#This Row],[Web_Traffic]]</f>
        <v>0.17941176470588235</v>
      </c>
      <c r="K64" t="str">
        <f>TEXT(Table1[[#This Row],[Date]],"mmm")</f>
        <v>Aug</v>
      </c>
    </row>
    <row r="65" spans="1:11" x14ac:dyDescent="0.35">
      <c r="A65" s="1">
        <v>45879</v>
      </c>
      <c r="B65" t="s">
        <v>9</v>
      </c>
      <c r="C65" t="s">
        <v>10</v>
      </c>
      <c r="D65">
        <v>7100</v>
      </c>
      <c r="E65">
        <v>355</v>
      </c>
      <c r="F65">
        <v>1600</v>
      </c>
      <c r="G65">
        <v>8500</v>
      </c>
      <c r="H65">
        <f>Table1[[#This Row],[Gross_Revenue]]-Table1[[#This Row],[Refunds]]</f>
        <v>6745</v>
      </c>
      <c r="I65">
        <f>Table1[[#This Row],[Net_Revenue]]/Table1[[#This Row],[Marketing_Spend]]</f>
        <v>4.2156250000000002</v>
      </c>
      <c r="J65">
        <f>Table1[[#This Row],[Marketing_Spend]]/Table1[[#This Row],[Web_Traffic]]</f>
        <v>0.18823529411764706</v>
      </c>
      <c r="K65" t="str">
        <f>TEXT(Table1[[#This Row],[Date]],"mmm")</f>
        <v>Aug</v>
      </c>
    </row>
    <row r="66" spans="1:11" x14ac:dyDescent="0.35">
      <c r="A66" s="1">
        <v>45870</v>
      </c>
      <c r="B66" t="s">
        <v>7</v>
      </c>
      <c r="C66" t="s">
        <v>8</v>
      </c>
      <c r="D66">
        <v>7050</v>
      </c>
      <c r="E66">
        <v>352</v>
      </c>
      <c r="F66">
        <v>1210</v>
      </c>
      <c r="G66">
        <v>6750</v>
      </c>
      <c r="H66">
        <f>Table1[[#This Row],[Gross_Revenue]]-Table1[[#This Row],[Refunds]]</f>
        <v>6698</v>
      </c>
      <c r="I66">
        <f>Table1[[#This Row],[Net_Revenue]]/Table1[[#This Row],[Marketing_Spend]]</f>
        <v>5.5355371900826444</v>
      </c>
      <c r="J66">
        <f>Table1[[#This Row],[Marketing_Spend]]/Table1[[#This Row],[Web_Traffic]]</f>
        <v>0.17925925925925926</v>
      </c>
      <c r="K66" t="str">
        <f>TEXT(Table1[[#This Row],[Date]],"mmm")</f>
        <v>Aug</v>
      </c>
    </row>
    <row r="67" spans="1:11" x14ac:dyDescent="0.35">
      <c r="A67" s="1">
        <v>45878</v>
      </c>
      <c r="B67" t="s">
        <v>9</v>
      </c>
      <c r="C67" t="s">
        <v>10</v>
      </c>
      <c r="D67">
        <v>7050</v>
      </c>
      <c r="E67">
        <v>352</v>
      </c>
      <c r="F67">
        <v>1590</v>
      </c>
      <c r="G67">
        <v>8450</v>
      </c>
      <c r="H67">
        <f>Table1[[#This Row],[Gross_Revenue]]-Table1[[#This Row],[Refunds]]</f>
        <v>6698</v>
      </c>
      <c r="I67">
        <f>Table1[[#This Row],[Net_Revenue]]/Table1[[#This Row],[Marketing_Spend]]</f>
        <v>4.212578616352201</v>
      </c>
      <c r="J67">
        <f>Table1[[#This Row],[Marketing_Spend]]/Table1[[#This Row],[Web_Traffic]]</f>
        <v>0.18816568047337279</v>
      </c>
      <c r="K67" t="str">
        <f>TEXT(Table1[[#This Row],[Date]],"mmm")</f>
        <v>Aug</v>
      </c>
    </row>
    <row r="68" spans="1:11" x14ac:dyDescent="0.35">
      <c r="A68" s="1">
        <v>45762</v>
      </c>
      <c r="B68" t="s">
        <v>7</v>
      </c>
      <c r="C68" t="s">
        <v>8</v>
      </c>
      <c r="D68">
        <v>7000</v>
      </c>
      <c r="E68">
        <v>350</v>
      </c>
      <c r="F68">
        <v>2000</v>
      </c>
      <c r="G68">
        <v>10000</v>
      </c>
      <c r="H68">
        <f>Table1[[#This Row],[Gross_Revenue]]-Table1[[#This Row],[Refunds]]</f>
        <v>6650</v>
      </c>
      <c r="I68">
        <f>Table1[[#This Row],[Net_Revenue]]/Table1[[#This Row],[Marketing_Spend]]</f>
        <v>3.3250000000000002</v>
      </c>
      <c r="J68">
        <f>Table1[[#This Row],[Marketing_Spend]]/Table1[[#This Row],[Web_Traffic]]</f>
        <v>0.2</v>
      </c>
      <c r="K68" t="str">
        <f>TEXT(Table1[[#This Row],[Date]],"mmm")</f>
        <v>Apr</v>
      </c>
    </row>
    <row r="69" spans="1:11" x14ac:dyDescent="0.35">
      <c r="A69" s="1">
        <v>45869</v>
      </c>
      <c r="B69" t="s">
        <v>7</v>
      </c>
      <c r="C69" t="s">
        <v>8</v>
      </c>
      <c r="D69">
        <v>7000</v>
      </c>
      <c r="E69">
        <v>350</v>
      </c>
      <c r="F69">
        <v>1200</v>
      </c>
      <c r="G69">
        <v>6700</v>
      </c>
      <c r="H69">
        <f>Table1[[#This Row],[Gross_Revenue]]-Table1[[#This Row],[Refunds]]</f>
        <v>6650</v>
      </c>
      <c r="I69">
        <f>Table1[[#This Row],[Net_Revenue]]/Table1[[#This Row],[Marketing_Spend]]</f>
        <v>5.541666666666667</v>
      </c>
      <c r="J69">
        <f>Table1[[#This Row],[Marketing_Spend]]/Table1[[#This Row],[Web_Traffic]]</f>
        <v>0.17910447761194029</v>
      </c>
      <c r="K69" t="str">
        <f>TEXT(Table1[[#This Row],[Date]],"mmm")</f>
        <v>Jul</v>
      </c>
    </row>
    <row r="70" spans="1:11" x14ac:dyDescent="0.35">
      <c r="A70" s="1">
        <v>45877</v>
      </c>
      <c r="B70" t="s">
        <v>9</v>
      </c>
      <c r="C70" t="s">
        <v>10</v>
      </c>
      <c r="D70">
        <v>7000</v>
      </c>
      <c r="E70">
        <v>350</v>
      </c>
      <c r="F70">
        <v>1580</v>
      </c>
      <c r="G70">
        <v>8400</v>
      </c>
      <c r="H70">
        <f>Table1[[#This Row],[Gross_Revenue]]-Table1[[#This Row],[Refunds]]</f>
        <v>6650</v>
      </c>
      <c r="I70">
        <f>Table1[[#This Row],[Net_Revenue]]/Table1[[#This Row],[Marketing_Spend]]</f>
        <v>4.2088607594936711</v>
      </c>
      <c r="J70">
        <f>Table1[[#This Row],[Marketing_Spend]]/Table1[[#This Row],[Web_Traffic]]</f>
        <v>0.18809523809523809</v>
      </c>
      <c r="K70" t="str">
        <f>TEXT(Table1[[#This Row],[Date]],"mmm")</f>
        <v>Aug</v>
      </c>
    </row>
    <row r="71" spans="1:11" x14ac:dyDescent="0.35">
      <c r="A71" s="1">
        <v>45868</v>
      </c>
      <c r="B71" t="s">
        <v>7</v>
      </c>
      <c r="C71" t="s">
        <v>8</v>
      </c>
      <c r="D71">
        <v>6950</v>
      </c>
      <c r="E71">
        <v>347</v>
      </c>
      <c r="F71">
        <v>1190</v>
      </c>
      <c r="G71">
        <v>6650</v>
      </c>
      <c r="H71">
        <f>Table1[[#This Row],[Gross_Revenue]]-Table1[[#This Row],[Refunds]]</f>
        <v>6603</v>
      </c>
      <c r="I71">
        <f>Table1[[#This Row],[Net_Revenue]]/Table1[[#This Row],[Marketing_Spend]]</f>
        <v>5.5487394957983192</v>
      </c>
      <c r="J71">
        <f>Table1[[#This Row],[Marketing_Spend]]/Table1[[#This Row],[Web_Traffic]]</f>
        <v>0.17894736842105263</v>
      </c>
      <c r="K71" t="str">
        <f>TEXT(Table1[[#This Row],[Date]],"mmm")</f>
        <v>Jul</v>
      </c>
    </row>
    <row r="72" spans="1:11" x14ac:dyDescent="0.35">
      <c r="A72" s="1">
        <v>45876</v>
      </c>
      <c r="B72" t="s">
        <v>9</v>
      </c>
      <c r="C72" t="s">
        <v>10</v>
      </c>
      <c r="D72">
        <v>6950</v>
      </c>
      <c r="E72">
        <v>347</v>
      </c>
      <c r="F72">
        <v>1570</v>
      </c>
      <c r="G72">
        <v>8350</v>
      </c>
      <c r="H72">
        <f>Table1[[#This Row],[Gross_Revenue]]-Table1[[#This Row],[Refunds]]</f>
        <v>6603</v>
      </c>
      <c r="I72">
        <f>Table1[[#This Row],[Net_Revenue]]/Table1[[#This Row],[Marketing_Spend]]</f>
        <v>4.2057324840764334</v>
      </c>
      <c r="J72">
        <f>Table1[[#This Row],[Marketing_Spend]]/Table1[[#This Row],[Web_Traffic]]</f>
        <v>0.18802395209580838</v>
      </c>
      <c r="K72" t="str">
        <f>TEXT(Table1[[#This Row],[Date]],"mmm")</f>
        <v>Aug</v>
      </c>
    </row>
    <row r="73" spans="1:11" x14ac:dyDescent="0.35">
      <c r="A73" s="1">
        <v>45838</v>
      </c>
      <c r="B73" t="s">
        <v>7</v>
      </c>
      <c r="C73" t="s">
        <v>8</v>
      </c>
      <c r="D73">
        <v>6900</v>
      </c>
      <c r="E73">
        <v>345</v>
      </c>
      <c r="F73">
        <v>1180</v>
      </c>
      <c r="G73">
        <v>6900</v>
      </c>
      <c r="H73">
        <f>Table1[[#This Row],[Gross_Revenue]]-Table1[[#This Row],[Refunds]]</f>
        <v>6555</v>
      </c>
      <c r="I73">
        <f>Table1[[#This Row],[Net_Revenue]]/Table1[[#This Row],[Marketing_Spend]]</f>
        <v>5.5550847457627119</v>
      </c>
      <c r="J73">
        <f>Table1[[#This Row],[Marketing_Spend]]/Table1[[#This Row],[Web_Traffic]]</f>
        <v>0.17101449275362318</v>
      </c>
      <c r="K73" t="str">
        <f>TEXT(Table1[[#This Row],[Date]],"mmm")</f>
        <v>Jun</v>
      </c>
    </row>
    <row r="74" spans="1:11" x14ac:dyDescent="0.35">
      <c r="A74" s="1">
        <v>45867</v>
      </c>
      <c r="B74" t="s">
        <v>7</v>
      </c>
      <c r="C74" t="s">
        <v>8</v>
      </c>
      <c r="D74">
        <v>6900</v>
      </c>
      <c r="E74">
        <v>345</v>
      </c>
      <c r="F74">
        <v>1180</v>
      </c>
      <c r="G74">
        <v>6600</v>
      </c>
      <c r="H74">
        <f>Table1[[#This Row],[Gross_Revenue]]-Table1[[#This Row],[Refunds]]</f>
        <v>6555</v>
      </c>
      <c r="I74">
        <f>Table1[[#This Row],[Net_Revenue]]/Table1[[#This Row],[Marketing_Spend]]</f>
        <v>5.5550847457627119</v>
      </c>
      <c r="J74">
        <f>Table1[[#This Row],[Marketing_Spend]]/Table1[[#This Row],[Web_Traffic]]</f>
        <v>0.1787878787878788</v>
      </c>
      <c r="K74" t="str">
        <f>TEXT(Table1[[#This Row],[Date]],"mmm")</f>
        <v>Jul</v>
      </c>
    </row>
    <row r="75" spans="1:11" x14ac:dyDescent="0.35">
      <c r="A75" s="1">
        <v>45875</v>
      </c>
      <c r="B75" t="s">
        <v>9</v>
      </c>
      <c r="C75" t="s">
        <v>10</v>
      </c>
      <c r="D75">
        <v>6900</v>
      </c>
      <c r="E75">
        <v>345</v>
      </c>
      <c r="F75">
        <v>1560</v>
      </c>
      <c r="G75">
        <v>8300</v>
      </c>
      <c r="H75">
        <f>Table1[[#This Row],[Gross_Revenue]]-Table1[[#This Row],[Refunds]]</f>
        <v>6555</v>
      </c>
      <c r="I75">
        <f>Table1[[#This Row],[Net_Revenue]]/Table1[[#This Row],[Marketing_Spend]]</f>
        <v>4.2019230769230766</v>
      </c>
      <c r="J75">
        <f>Table1[[#This Row],[Marketing_Spend]]/Table1[[#This Row],[Web_Traffic]]</f>
        <v>0.18795180722891566</v>
      </c>
      <c r="K75" t="str">
        <f>TEXT(Table1[[#This Row],[Date]],"mmm")</f>
        <v>Aug</v>
      </c>
    </row>
    <row r="76" spans="1:11" x14ac:dyDescent="0.35">
      <c r="A76" s="1">
        <v>45837</v>
      </c>
      <c r="B76" t="s">
        <v>7</v>
      </c>
      <c r="C76" t="s">
        <v>8</v>
      </c>
      <c r="D76">
        <v>6850</v>
      </c>
      <c r="E76">
        <v>342</v>
      </c>
      <c r="F76">
        <v>1170</v>
      </c>
      <c r="G76">
        <v>6850</v>
      </c>
      <c r="H76">
        <f>Table1[[#This Row],[Gross_Revenue]]-Table1[[#This Row],[Refunds]]</f>
        <v>6508</v>
      </c>
      <c r="I76">
        <f>Table1[[#This Row],[Net_Revenue]]/Table1[[#This Row],[Marketing_Spend]]</f>
        <v>5.5623931623931622</v>
      </c>
      <c r="J76">
        <f>Table1[[#This Row],[Marketing_Spend]]/Table1[[#This Row],[Web_Traffic]]</f>
        <v>0.17080291970802919</v>
      </c>
      <c r="K76" t="str">
        <f>TEXT(Table1[[#This Row],[Date]],"mmm")</f>
        <v>Jun</v>
      </c>
    </row>
    <row r="77" spans="1:11" x14ac:dyDescent="0.35">
      <c r="A77" s="1">
        <v>45866</v>
      </c>
      <c r="B77" t="s">
        <v>7</v>
      </c>
      <c r="C77" t="s">
        <v>8</v>
      </c>
      <c r="D77">
        <v>6850</v>
      </c>
      <c r="E77">
        <v>342</v>
      </c>
      <c r="F77">
        <v>1170</v>
      </c>
      <c r="G77">
        <v>6550</v>
      </c>
      <c r="H77">
        <f>Table1[[#This Row],[Gross_Revenue]]-Table1[[#This Row],[Refunds]]</f>
        <v>6508</v>
      </c>
      <c r="I77">
        <f>Table1[[#This Row],[Net_Revenue]]/Table1[[#This Row],[Marketing_Spend]]</f>
        <v>5.5623931623931622</v>
      </c>
      <c r="J77">
        <f>Table1[[#This Row],[Marketing_Spend]]/Table1[[#This Row],[Web_Traffic]]</f>
        <v>0.17862595419847327</v>
      </c>
      <c r="K77" t="str">
        <f>TEXT(Table1[[#This Row],[Date]],"mmm")</f>
        <v>Jul</v>
      </c>
    </row>
    <row r="78" spans="1:11" x14ac:dyDescent="0.35">
      <c r="A78" s="1">
        <v>45874</v>
      </c>
      <c r="B78" t="s">
        <v>9</v>
      </c>
      <c r="C78" t="s">
        <v>10</v>
      </c>
      <c r="D78">
        <v>6850</v>
      </c>
      <c r="E78">
        <v>342</v>
      </c>
      <c r="F78">
        <v>1550</v>
      </c>
      <c r="G78">
        <v>8250</v>
      </c>
      <c r="H78">
        <f>Table1[[#This Row],[Gross_Revenue]]-Table1[[#This Row],[Refunds]]</f>
        <v>6508</v>
      </c>
      <c r="I78">
        <f>Table1[[#This Row],[Net_Revenue]]/Table1[[#This Row],[Marketing_Spend]]</f>
        <v>4.1987096774193544</v>
      </c>
      <c r="J78">
        <f>Table1[[#This Row],[Marketing_Spend]]/Table1[[#This Row],[Web_Traffic]]</f>
        <v>0.18787878787878787</v>
      </c>
      <c r="K78" t="str">
        <f>TEXT(Table1[[#This Row],[Date]],"mmm")</f>
        <v>Aug</v>
      </c>
    </row>
    <row r="79" spans="1:11" x14ac:dyDescent="0.35">
      <c r="A79" s="1">
        <v>45751</v>
      </c>
      <c r="B79" t="s">
        <v>7</v>
      </c>
      <c r="C79" t="s">
        <v>8</v>
      </c>
      <c r="D79">
        <v>6800</v>
      </c>
      <c r="E79">
        <v>340</v>
      </c>
      <c r="F79">
        <v>1250</v>
      </c>
      <c r="G79">
        <v>5900</v>
      </c>
      <c r="H79">
        <f>Table1[[#This Row],[Gross_Revenue]]-Table1[[#This Row],[Refunds]]</f>
        <v>6460</v>
      </c>
      <c r="I79">
        <f>Table1[[#This Row],[Net_Revenue]]/Table1[[#This Row],[Marketing_Spend]]</f>
        <v>5.1680000000000001</v>
      </c>
      <c r="J79">
        <f>Table1[[#This Row],[Marketing_Spend]]/Table1[[#This Row],[Web_Traffic]]</f>
        <v>0.21186440677966101</v>
      </c>
      <c r="K79" t="str">
        <f>TEXT(Table1[[#This Row],[Date]],"mmm")</f>
        <v>Apr</v>
      </c>
    </row>
    <row r="80" spans="1:11" x14ac:dyDescent="0.35">
      <c r="A80" s="1">
        <v>45836</v>
      </c>
      <c r="B80" t="s">
        <v>7</v>
      </c>
      <c r="C80" t="s">
        <v>8</v>
      </c>
      <c r="D80">
        <v>6800</v>
      </c>
      <c r="E80">
        <v>340</v>
      </c>
      <c r="F80">
        <v>1160</v>
      </c>
      <c r="G80">
        <v>6800</v>
      </c>
      <c r="H80">
        <f>Table1[[#This Row],[Gross_Revenue]]-Table1[[#This Row],[Refunds]]</f>
        <v>6460</v>
      </c>
      <c r="I80">
        <f>Table1[[#This Row],[Net_Revenue]]/Table1[[#This Row],[Marketing_Spend]]</f>
        <v>5.568965517241379</v>
      </c>
      <c r="J80">
        <f>Table1[[#This Row],[Marketing_Spend]]/Table1[[#This Row],[Web_Traffic]]</f>
        <v>0.17058823529411765</v>
      </c>
      <c r="K80" t="str">
        <f>TEXT(Table1[[#This Row],[Date]],"mmm")</f>
        <v>Jun</v>
      </c>
    </row>
    <row r="81" spans="1:11" x14ac:dyDescent="0.35">
      <c r="A81" s="1">
        <v>45865</v>
      </c>
      <c r="B81" t="s">
        <v>7</v>
      </c>
      <c r="C81" t="s">
        <v>8</v>
      </c>
      <c r="D81">
        <v>6800</v>
      </c>
      <c r="E81">
        <v>340</v>
      </c>
      <c r="F81">
        <v>1160</v>
      </c>
      <c r="G81">
        <v>6500</v>
      </c>
      <c r="H81">
        <f>Table1[[#This Row],[Gross_Revenue]]-Table1[[#This Row],[Refunds]]</f>
        <v>6460</v>
      </c>
      <c r="I81">
        <f>Table1[[#This Row],[Net_Revenue]]/Table1[[#This Row],[Marketing_Spend]]</f>
        <v>5.568965517241379</v>
      </c>
      <c r="J81">
        <f>Table1[[#This Row],[Marketing_Spend]]/Table1[[#This Row],[Web_Traffic]]</f>
        <v>0.17846153846153845</v>
      </c>
      <c r="K81" t="str">
        <f>TEXT(Table1[[#This Row],[Date]],"mmm")</f>
        <v>Jul</v>
      </c>
    </row>
    <row r="82" spans="1:11" x14ac:dyDescent="0.35">
      <c r="A82" s="1">
        <v>45873</v>
      </c>
      <c r="B82" t="s">
        <v>9</v>
      </c>
      <c r="C82" t="s">
        <v>10</v>
      </c>
      <c r="D82">
        <v>6800</v>
      </c>
      <c r="E82">
        <v>340</v>
      </c>
      <c r="F82">
        <v>1540</v>
      </c>
      <c r="G82">
        <v>8200</v>
      </c>
      <c r="H82">
        <f>Table1[[#This Row],[Gross_Revenue]]-Table1[[#This Row],[Refunds]]</f>
        <v>6460</v>
      </c>
      <c r="I82">
        <f>Table1[[#This Row],[Net_Revenue]]/Table1[[#This Row],[Marketing_Spend]]</f>
        <v>4.1948051948051948</v>
      </c>
      <c r="J82">
        <f>Table1[[#This Row],[Marketing_Spend]]/Table1[[#This Row],[Web_Traffic]]</f>
        <v>0.18780487804878049</v>
      </c>
      <c r="K82" t="str">
        <f>TEXT(Table1[[#This Row],[Date]],"mmm")</f>
        <v>Aug</v>
      </c>
    </row>
    <row r="83" spans="1:11" x14ac:dyDescent="0.35">
      <c r="A83" s="1">
        <v>45835</v>
      </c>
      <c r="B83" t="s">
        <v>7</v>
      </c>
      <c r="C83" t="s">
        <v>8</v>
      </c>
      <c r="D83">
        <v>6750</v>
      </c>
      <c r="E83">
        <v>337</v>
      </c>
      <c r="F83">
        <v>1150</v>
      </c>
      <c r="G83">
        <v>6750</v>
      </c>
      <c r="H83">
        <f>Table1[[#This Row],[Gross_Revenue]]-Table1[[#This Row],[Refunds]]</f>
        <v>6413</v>
      </c>
      <c r="I83">
        <f>Table1[[#This Row],[Net_Revenue]]/Table1[[#This Row],[Marketing_Spend]]</f>
        <v>5.5765217391304347</v>
      </c>
      <c r="J83">
        <f>Table1[[#This Row],[Marketing_Spend]]/Table1[[#This Row],[Web_Traffic]]</f>
        <v>0.17037037037037037</v>
      </c>
      <c r="K83" t="str">
        <f>TEXT(Table1[[#This Row],[Date]],"mmm")</f>
        <v>Jun</v>
      </c>
    </row>
    <row r="84" spans="1:11" x14ac:dyDescent="0.35">
      <c r="A84" s="1">
        <v>45864</v>
      </c>
      <c r="B84" t="s">
        <v>7</v>
      </c>
      <c r="C84" t="s">
        <v>8</v>
      </c>
      <c r="D84">
        <v>6750</v>
      </c>
      <c r="E84">
        <v>337</v>
      </c>
      <c r="F84">
        <v>1150</v>
      </c>
      <c r="G84">
        <v>6450</v>
      </c>
      <c r="H84">
        <f>Table1[[#This Row],[Gross_Revenue]]-Table1[[#This Row],[Refunds]]</f>
        <v>6413</v>
      </c>
      <c r="I84">
        <f>Table1[[#This Row],[Net_Revenue]]/Table1[[#This Row],[Marketing_Spend]]</f>
        <v>5.5765217391304347</v>
      </c>
      <c r="J84">
        <f>Table1[[#This Row],[Marketing_Spend]]/Table1[[#This Row],[Web_Traffic]]</f>
        <v>0.17829457364341086</v>
      </c>
      <c r="K84" t="str">
        <f>TEXT(Table1[[#This Row],[Date]],"mmm")</f>
        <v>Jul</v>
      </c>
    </row>
    <row r="85" spans="1:11" x14ac:dyDescent="0.35">
      <c r="A85" s="1">
        <v>45872</v>
      </c>
      <c r="B85" t="s">
        <v>9</v>
      </c>
      <c r="C85" t="s">
        <v>10</v>
      </c>
      <c r="D85">
        <v>6750</v>
      </c>
      <c r="E85">
        <v>337</v>
      </c>
      <c r="F85">
        <v>1530</v>
      </c>
      <c r="G85">
        <v>8150</v>
      </c>
      <c r="H85">
        <f>Table1[[#This Row],[Gross_Revenue]]-Table1[[#This Row],[Refunds]]</f>
        <v>6413</v>
      </c>
      <c r="I85">
        <f>Table1[[#This Row],[Net_Revenue]]/Table1[[#This Row],[Marketing_Spend]]</f>
        <v>4.1915032679738564</v>
      </c>
      <c r="J85">
        <f>Table1[[#This Row],[Marketing_Spend]]/Table1[[#This Row],[Web_Traffic]]</f>
        <v>0.18773006134969325</v>
      </c>
      <c r="K85" t="str">
        <f>TEXT(Table1[[#This Row],[Date]],"mmm")</f>
        <v>Aug</v>
      </c>
    </row>
    <row r="86" spans="1:11" x14ac:dyDescent="0.35">
      <c r="A86" s="1">
        <v>45750</v>
      </c>
      <c r="B86" t="s">
        <v>7</v>
      </c>
      <c r="C86" t="s">
        <v>8</v>
      </c>
      <c r="D86">
        <v>6700</v>
      </c>
      <c r="E86">
        <v>335</v>
      </c>
      <c r="F86">
        <v>1200</v>
      </c>
      <c r="G86">
        <v>5800</v>
      </c>
      <c r="H86">
        <f>Table1[[#This Row],[Gross_Revenue]]-Table1[[#This Row],[Refunds]]</f>
        <v>6365</v>
      </c>
      <c r="I86">
        <f>Table1[[#This Row],[Net_Revenue]]/Table1[[#This Row],[Marketing_Spend]]</f>
        <v>5.3041666666666663</v>
      </c>
      <c r="J86">
        <f>Table1[[#This Row],[Marketing_Spend]]/Table1[[#This Row],[Web_Traffic]]</f>
        <v>0.20689655172413793</v>
      </c>
      <c r="K86" t="str">
        <f>TEXT(Table1[[#This Row],[Date]],"mmm")</f>
        <v>Apr</v>
      </c>
    </row>
    <row r="87" spans="1:11" x14ac:dyDescent="0.35">
      <c r="A87" s="1">
        <v>45834</v>
      </c>
      <c r="B87" t="s">
        <v>7</v>
      </c>
      <c r="C87" t="s">
        <v>8</v>
      </c>
      <c r="D87">
        <v>6700</v>
      </c>
      <c r="E87">
        <v>335</v>
      </c>
      <c r="F87">
        <v>1140</v>
      </c>
      <c r="G87">
        <v>6700</v>
      </c>
      <c r="H87">
        <f>Table1[[#This Row],[Gross_Revenue]]-Table1[[#This Row],[Refunds]]</f>
        <v>6365</v>
      </c>
      <c r="I87">
        <f>Table1[[#This Row],[Net_Revenue]]/Table1[[#This Row],[Marketing_Spend]]</f>
        <v>5.583333333333333</v>
      </c>
      <c r="J87">
        <f>Table1[[#This Row],[Marketing_Spend]]/Table1[[#This Row],[Web_Traffic]]</f>
        <v>0.17014925373134329</v>
      </c>
      <c r="K87" t="str">
        <f>TEXT(Table1[[#This Row],[Date]],"mmm")</f>
        <v>Jun</v>
      </c>
    </row>
    <row r="88" spans="1:11" x14ac:dyDescent="0.35">
      <c r="A88" s="1">
        <v>45863</v>
      </c>
      <c r="B88" t="s">
        <v>7</v>
      </c>
      <c r="C88" t="s">
        <v>8</v>
      </c>
      <c r="D88">
        <v>6700</v>
      </c>
      <c r="E88">
        <v>335</v>
      </c>
      <c r="F88">
        <v>1140</v>
      </c>
      <c r="G88">
        <v>6400</v>
      </c>
      <c r="H88">
        <f>Table1[[#This Row],[Gross_Revenue]]-Table1[[#This Row],[Refunds]]</f>
        <v>6365</v>
      </c>
      <c r="I88">
        <f>Table1[[#This Row],[Net_Revenue]]/Table1[[#This Row],[Marketing_Spend]]</f>
        <v>5.583333333333333</v>
      </c>
      <c r="J88">
        <f>Table1[[#This Row],[Marketing_Spend]]/Table1[[#This Row],[Web_Traffic]]</f>
        <v>0.17812500000000001</v>
      </c>
      <c r="K88" t="str">
        <f>TEXT(Table1[[#This Row],[Date]],"mmm")</f>
        <v>Jul</v>
      </c>
    </row>
    <row r="89" spans="1:11" x14ac:dyDescent="0.35">
      <c r="A89" s="1">
        <v>45871</v>
      </c>
      <c r="B89" t="s">
        <v>9</v>
      </c>
      <c r="C89" t="s">
        <v>10</v>
      </c>
      <c r="D89">
        <v>6700</v>
      </c>
      <c r="E89">
        <v>335</v>
      </c>
      <c r="F89">
        <v>1520</v>
      </c>
      <c r="G89">
        <v>8100</v>
      </c>
      <c r="H89">
        <f>Table1[[#This Row],[Gross_Revenue]]-Table1[[#This Row],[Refunds]]</f>
        <v>6365</v>
      </c>
      <c r="I89">
        <f>Table1[[#This Row],[Net_Revenue]]/Table1[[#This Row],[Marketing_Spend]]</f>
        <v>4.1875</v>
      </c>
      <c r="J89">
        <f>Table1[[#This Row],[Marketing_Spend]]/Table1[[#This Row],[Web_Traffic]]</f>
        <v>0.18765432098765433</v>
      </c>
      <c r="K89" t="str">
        <f>TEXT(Table1[[#This Row],[Date]],"mmm")</f>
        <v>Aug</v>
      </c>
    </row>
    <row r="90" spans="1:11" x14ac:dyDescent="0.35">
      <c r="A90" s="1">
        <v>45822</v>
      </c>
      <c r="B90" t="s">
        <v>7</v>
      </c>
      <c r="C90" t="s">
        <v>8</v>
      </c>
      <c r="D90">
        <v>6650</v>
      </c>
      <c r="E90">
        <v>332</v>
      </c>
      <c r="F90">
        <v>1130</v>
      </c>
      <c r="G90">
        <v>6650</v>
      </c>
      <c r="H90">
        <f>Table1[[#This Row],[Gross_Revenue]]-Table1[[#This Row],[Refunds]]</f>
        <v>6318</v>
      </c>
      <c r="I90">
        <f>Table1[[#This Row],[Net_Revenue]]/Table1[[#This Row],[Marketing_Spend]]</f>
        <v>5.5911504424778764</v>
      </c>
      <c r="J90">
        <f>Table1[[#This Row],[Marketing_Spend]]/Table1[[#This Row],[Web_Traffic]]</f>
        <v>0.1699248120300752</v>
      </c>
      <c r="K90" t="str">
        <f>TEXT(Table1[[#This Row],[Date]],"mmm")</f>
        <v>Jun</v>
      </c>
    </row>
    <row r="91" spans="1:11" x14ac:dyDescent="0.35">
      <c r="A91" s="1">
        <v>45833</v>
      </c>
      <c r="B91" t="s">
        <v>7</v>
      </c>
      <c r="C91" t="s">
        <v>8</v>
      </c>
      <c r="D91">
        <v>6650</v>
      </c>
      <c r="E91">
        <v>332</v>
      </c>
      <c r="F91">
        <v>1130</v>
      </c>
      <c r="G91">
        <v>6650</v>
      </c>
      <c r="H91">
        <f>Table1[[#This Row],[Gross_Revenue]]-Table1[[#This Row],[Refunds]]</f>
        <v>6318</v>
      </c>
      <c r="I91">
        <f>Table1[[#This Row],[Net_Revenue]]/Table1[[#This Row],[Marketing_Spend]]</f>
        <v>5.5911504424778764</v>
      </c>
      <c r="J91">
        <f>Table1[[#This Row],[Marketing_Spend]]/Table1[[#This Row],[Web_Traffic]]</f>
        <v>0.1699248120300752</v>
      </c>
      <c r="K91" t="str">
        <f>TEXT(Table1[[#This Row],[Date]],"mmm")</f>
        <v>Jun</v>
      </c>
    </row>
    <row r="92" spans="1:11" x14ac:dyDescent="0.35">
      <c r="A92" s="1">
        <v>45862</v>
      </c>
      <c r="B92" t="s">
        <v>7</v>
      </c>
      <c r="C92" t="s">
        <v>8</v>
      </c>
      <c r="D92">
        <v>6650</v>
      </c>
      <c r="E92">
        <v>332</v>
      </c>
      <c r="F92">
        <v>1130</v>
      </c>
      <c r="G92">
        <v>6350</v>
      </c>
      <c r="H92">
        <f>Table1[[#This Row],[Gross_Revenue]]-Table1[[#This Row],[Refunds]]</f>
        <v>6318</v>
      </c>
      <c r="I92">
        <f>Table1[[#This Row],[Net_Revenue]]/Table1[[#This Row],[Marketing_Spend]]</f>
        <v>5.5911504424778764</v>
      </c>
      <c r="J92">
        <f>Table1[[#This Row],[Marketing_Spend]]/Table1[[#This Row],[Web_Traffic]]</f>
        <v>0.17795275590551182</v>
      </c>
      <c r="K92" t="str">
        <f>TEXT(Table1[[#This Row],[Date]],"mmm")</f>
        <v>Jul</v>
      </c>
    </row>
    <row r="93" spans="1:11" x14ac:dyDescent="0.35">
      <c r="A93" s="1">
        <v>45870</v>
      </c>
      <c r="B93" t="s">
        <v>9</v>
      </c>
      <c r="C93" t="s">
        <v>10</v>
      </c>
      <c r="D93">
        <v>6650</v>
      </c>
      <c r="E93">
        <v>332</v>
      </c>
      <c r="F93">
        <v>1510</v>
      </c>
      <c r="G93">
        <v>8050</v>
      </c>
      <c r="H93">
        <f>Table1[[#This Row],[Gross_Revenue]]-Table1[[#This Row],[Refunds]]</f>
        <v>6318</v>
      </c>
      <c r="I93">
        <f>Table1[[#This Row],[Net_Revenue]]/Table1[[#This Row],[Marketing_Spend]]</f>
        <v>4.1841059602649002</v>
      </c>
      <c r="J93">
        <f>Table1[[#This Row],[Marketing_Spend]]/Table1[[#This Row],[Web_Traffic]]</f>
        <v>0.18757763975155278</v>
      </c>
      <c r="K93" t="str">
        <f>TEXT(Table1[[#This Row],[Date]],"mmm")</f>
        <v>Aug</v>
      </c>
    </row>
    <row r="94" spans="1:11" x14ac:dyDescent="0.35">
      <c r="A94" s="1">
        <v>45749</v>
      </c>
      <c r="B94" t="s">
        <v>7</v>
      </c>
      <c r="C94" t="s">
        <v>8</v>
      </c>
      <c r="D94">
        <v>6600</v>
      </c>
      <c r="E94">
        <v>330</v>
      </c>
      <c r="F94">
        <v>1150</v>
      </c>
      <c r="G94">
        <v>5700</v>
      </c>
      <c r="H94">
        <f>Table1[[#This Row],[Gross_Revenue]]-Table1[[#This Row],[Refunds]]</f>
        <v>6270</v>
      </c>
      <c r="I94">
        <f>Table1[[#This Row],[Net_Revenue]]/Table1[[#This Row],[Marketing_Spend]]</f>
        <v>5.4521739130434783</v>
      </c>
      <c r="J94">
        <f>Table1[[#This Row],[Marketing_Spend]]/Table1[[#This Row],[Web_Traffic]]</f>
        <v>0.20175438596491227</v>
      </c>
      <c r="K94" t="str">
        <f>TEXT(Table1[[#This Row],[Date]],"mmm")</f>
        <v>Apr</v>
      </c>
    </row>
    <row r="95" spans="1:11" x14ac:dyDescent="0.35">
      <c r="A95" s="1">
        <v>45821</v>
      </c>
      <c r="B95" t="s">
        <v>7</v>
      </c>
      <c r="C95" t="s">
        <v>8</v>
      </c>
      <c r="D95">
        <v>6600</v>
      </c>
      <c r="E95">
        <v>330</v>
      </c>
      <c r="F95">
        <v>1120</v>
      </c>
      <c r="G95">
        <v>6600</v>
      </c>
      <c r="H95">
        <f>Table1[[#This Row],[Gross_Revenue]]-Table1[[#This Row],[Refunds]]</f>
        <v>6270</v>
      </c>
      <c r="I95">
        <f>Table1[[#This Row],[Net_Revenue]]/Table1[[#This Row],[Marketing_Spend]]</f>
        <v>5.5982142857142856</v>
      </c>
      <c r="J95">
        <f>Table1[[#This Row],[Marketing_Spend]]/Table1[[#This Row],[Web_Traffic]]</f>
        <v>0.16969696969696971</v>
      </c>
      <c r="K95" t="str">
        <f>TEXT(Table1[[#This Row],[Date]],"mmm")</f>
        <v>Jun</v>
      </c>
    </row>
    <row r="96" spans="1:11" x14ac:dyDescent="0.35">
      <c r="A96" s="1">
        <v>45832</v>
      </c>
      <c r="B96" t="s">
        <v>7</v>
      </c>
      <c r="C96" t="s">
        <v>8</v>
      </c>
      <c r="D96">
        <v>6600</v>
      </c>
      <c r="E96">
        <v>330</v>
      </c>
      <c r="F96">
        <v>1120</v>
      </c>
      <c r="G96">
        <v>6600</v>
      </c>
      <c r="H96">
        <f>Table1[[#This Row],[Gross_Revenue]]-Table1[[#This Row],[Refunds]]</f>
        <v>6270</v>
      </c>
      <c r="I96">
        <f>Table1[[#This Row],[Net_Revenue]]/Table1[[#This Row],[Marketing_Spend]]</f>
        <v>5.5982142857142856</v>
      </c>
      <c r="J96">
        <f>Table1[[#This Row],[Marketing_Spend]]/Table1[[#This Row],[Web_Traffic]]</f>
        <v>0.16969696969696971</v>
      </c>
      <c r="K96" t="str">
        <f>TEXT(Table1[[#This Row],[Date]],"mmm")</f>
        <v>Jun</v>
      </c>
    </row>
    <row r="97" spans="1:11" x14ac:dyDescent="0.35">
      <c r="A97" s="1">
        <v>45861</v>
      </c>
      <c r="B97" t="s">
        <v>7</v>
      </c>
      <c r="C97" t="s">
        <v>8</v>
      </c>
      <c r="D97">
        <v>6600</v>
      </c>
      <c r="E97">
        <v>330</v>
      </c>
      <c r="F97">
        <v>1120</v>
      </c>
      <c r="G97">
        <v>6300</v>
      </c>
      <c r="H97">
        <f>Table1[[#This Row],[Gross_Revenue]]-Table1[[#This Row],[Refunds]]</f>
        <v>6270</v>
      </c>
      <c r="I97">
        <f>Table1[[#This Row],[Net_Revenue]]/Table1[[#This Row],[Marketing_Spend]]</f>
        <v>5.5982142857142856</v>
      </c>
      <c r="J97">
        <f>Table1[[#This Row],[Marketing_Spend]]/Table1[[#This Row],[Web_Traffic]]</f>
        <v>0.17777777777777778</v>
      </c>
      <c r="K97" t="str">
        <f>TEXT(Table1[[#This Row],[Date]],"mmm")</f>
        <v>Jul</v>
      </c>
    </row>
    <row r="98" spans="1:11" x14ac:dyDescent="0.35">
      <c r="A98" s="1">
        <v>45869</v>
      </c>
      <c r="B98" t="s">
        <v>9</v>
      </c>
      <c r="C98" t="s">
        <v>10</v>
      </c>
      <c r="D98">
        <v>6600</v>
      </c>
      <c r="E98">
        <v>330</v>
      </c>
      <c r="F98">
        <v>1500</v>
      </c>
      <c r="G98">
        <v>8000</v>
      </c>
      <c r="H98">
        <f>Table1[[#This Row],[Gross_Revenue]]-Table1[[#This Row],[Refunds]]</f>
        <v>6270</v>
      </c>
      <c r="I98">
        <f>Table1[[#This Row],[Net_Revenue]]/Table1[[#This Row],[Marketing_Spend]]</f>
        <v>4.18</v>
      </c>
      <c r="J98">
        <f>Table1[[#This Row],[Marketing_Spend]]/Table1[[#This Row],[Web_Traffic]]</f>
        <v>0.1875</v>
      </c>
      <c r="K98" t="str">
        <f>TEXT(Table1[[#This Row],[Date]],"mmm")</f>
        <v>Jul</v>
      </c>
    </row>
    <row r="99" spans="1:11" x14ac:dyDescent="0.35">
      <c r="A99" s="1">
        <v>45900</v>
      </c>
      <c r="B99" t="s">
        <v>7</v>
      </c>
      <c r="C99" t="s">
        <v>8</v>
      </c>
      <c r="D99">
        <v>6600</v>
      </c>
      <c r="E99">
        <v>330</v>
      </c>
      <c r="F99">
        <v>1250</v>
      </c>
      <c r="G99">
        <v>6100</v>
      </c>
      <c r="H99">
        <f>Table1[[#This Row],[Gross_Revenue]]-Table1[[#This Row],[Refunds]]</f>
        <v>6270</v>
      </c>
      <c r="I99">
        <f>Table1[[#This Row],[Net_Revenue]]/Table1[[#This Row],[Marketing_Spend]]</f>
        <v>5.016</v>
      </c>
      <c r="J99">
        <f>Table1[[#This Row],[Marketing_Spend]]/Table1[[#This Row],[Web_Traffic]]</f>
        <v>0.20491803278688525</v>
      </c>
      <c r="K99" t="str">
        <f>TEXT(Table1[[#This Row],[Date]],"mmm")</f>
        <v>Aug</v>
      </c>
    </row>
    <row r="100" spans="1:11" x14ac:dyDescent="0.35">
      <c r="A100" s="1">
        <v>45820</v>
      </c>
      <c r="B100" t="s">
        <v>7</v>
      </c>
      <c r="C100" t="s">
        <v>8</v>
      </c>
      <c r="D100">
        <v>6550</v>
      </c>
      <c r="E100">
        <v>327</v>
      </c>
      <c r="F100">
        <v>1110</v>
      </c>
      <c r="G100">
        <v>6550</v>
      </c>
      <c r="H100">
        <f>Table1[[#This Row],[Gross_Revenue]]-Table1[[#This Row],[Refunds]]</f>
        <v>6223</v>
      </c>
      <c r="I100">
        <f>Table1[[#This Row],[Net_Revenue]]/Table1[[#This Row],[Marketing_Spend]]</f>
        <v>5.6063063063063066</v>
      </c>
      <c r="J100">
        <f>Table1[[#This Row],[Marketing_Spend]]/Table1[[#This Row],[Web_Traffic]]</f>
        <v>0.16946564885496182</v>
      </c>
      <c r="K100" t="str">
        <f>TEXT(Table1[[#This Row],[Date]],"mmm")</f>
        <v>Jun</v>
      </c>
    </row>
    <row r="101" spans="1:11" x14ac:dyDescent="0.35">
      <c r="A101" s="1">
        <v>45831</v>
      </c>
      <c r="B101" t="s">
        <v>7</v>
      </c>
      <c r="C101" t="s">
        <v>8</v>
      </c>
      <c r="D101">
        <v>6550</v>
      </c>
      <c r="E101">
        <v>327</v>
      </c>
      <c r="F101">
        <v>1110</v>
      </c>
      <c r="G101">
        <v>6550</v>
      </c>
      <c r="H101">
        <f>Table1[[#This Row],[Gross_Revenue]]-Table1[[#This Row],[Refunds]]</f>
        <v>6223</v>
      </c>
      <c r="I101">
        <f>Table1[[#This Row],[Net_Revenue]]/Table1[[#This Row],[Marketing_Spend]]</f>
        <v>5.6063063063063066</v>
      </c>
      <c r="J101">
        <f>Table1[[#This Row],[Marketing_Spend]]/Table1[[#This Row],[Web_Traffic]]</f>
        <v>0.16946564885496182</v>
      </c>
      <c r="K101" t="str">
        <f>TEXT(Table1[[#This Row],[Date]],"mmm")</f>
        <v>Jun</v>
      </c>
    </row>
    <row r="102" spans="1:11" x14ac:dyDescent="0.35">
      <c r="A102" s="1">
        <v>45860</v>
      </c>
      <c r="B102" t="s">
        <v>7</v>
      </c>
      <c r="C102" t="s">
        <v>8</v>
      </c>
      <c r="D102">
        <v>6550</v>
      </c>
      <c r="E102">
        <v>327</v>
      </c>
      <c r="F102">
        <v>1110</v>
      </c>
      <c r="G102">
        <v>6250</v>
      </c>
      <c r="H102">
        <f>Table1[[#This Row],[Gross_Revenue]]-Table1[[#This Row],[Refunds]]</f>
        <v>6223</v>
      </c>
      <c r="I102">
        <f>Table1[[#This Row],[Net_Revenue]]/Table1[[#This Row],[Marketing_Spend]]</f>
        <v>5.6063063063063066</v>
      </c>
      <c r="J102">
        <f>Table1[[#This Row],[Marketing_Spend]]/Table1[[#This Row],[Web_Traffic]]</f>
        <v>0.17760000000000001</v>
      </c>
      <c r="K102" t="str">
        <f>TEXT(Table1[[#This Row],[Date]],"mmm")</f>
        <v>Jul</v>
      </c>
    </row>
    <row r="103" spans="1:11" x14ac:dyDescent="0.35">
      <c r="A103" s="1">
        <v>45868</v>
      </c>
      <c r="B103" t="s">
        <v>9</v>
      </c>
      <c r="C103" t="s">
        <v>10</v>
      </c>
      <c r="D103">
        <v>6550</v>
      </c>
      <c r="E103">
        <v>327</v>
      </c>
      <c r="F103">
        <v>1490</v>
      </c>
      <c r="G103">
        <v>7950</v>
      </c>
      <c r="H103">
        <f>Table1[[#This Row],[Gross_Revenue]]-Table1[[#This Row],[Refunds]]</f>
        <v>6223</v>
      </c>
      <c r="I103">
        <f>Table1[[#This Row],[Net_Revenue]]/Table1[[#This Row],[Marketing_Spend]]</f>
        <v>4.1765100671140942</v>
      </c>
      <c r="J103">
        <f>Table1[[#This Row],[Marketing_Spend]]/Table1[[#This Row],[Web_Traffic]]</f>
        <v>0.18742138364779873</v>
      </c>
      <c r="K103" t="str">
        <f>TEXT(Table1[[#This Row],[Date]],"mmm")</f>
        <v>Jul</v>
      </c>
    </row>
    <row r="104" spans="1:11" x14ac:dyDescent="0.35">
      <c r="A104" s="1">
        <v>45748</v>
      </c>
      <c r="B104" t="s">
        <v>7</v>
      </c>
      <c r="C104" t="s">
        <v>8</v>
      </c>
      <c r="D104">
        <v>6500</v>
      </c>
      <c r="E104">
        <v>325</v>
      </c>
      <c r="F104">
        <v>1100</v>
      </c>
      <c r="G104">
        <v>5600</v>
      </c>
      <c r="H104">
        <f>Table1[[#This Row],[Gross_Revenue]]-Table1[[#This Row],[Refunds]]</f>
        <v>6175</v>
      </c>
      <c r="I104">
        <f>Table1[[#This Row],[Net_Revenue]]/Table1[[#This Row],[Marketing_Spend]]</f>
        <v>5.6136363636363633</v>
      </c>
      <c r="J104">
        <f>Table1[[#This Row],[Marketing_Spend]]/Table1[[#This Row],[Web_Traffic]]</f>
        <v>0.19642857142857142</v>
      </c>
      <c r="K104" t="str">
        <f>TEXT(Table1[[#This Row],[Date]],"mmm")</f>
        <v>Apr</v>
      </c>
    </row>
    <row r="105" spans="1:11" x14ac:dyDescent="0.35">
      <c r="A105" s="1">
        <v>45762</v>
      </c>
      <c r="B105" t="s">
        <v>9</v>
      </c>
      <c r="C105" t="s">
        <v>10</v>
      </c>
      <c r="D105">
        <v>6500</v>
      </c>
      <c r="E105">
        <v>325</v>
      </c>
      <c r="F105">
        <v>2500</v>
      </c>
      <c r="G105">
        <v>11000</v>
      </c>
      <c r="H105">
        <f>Table1[[#This Row],[Gross_Revenue]]-Table1[[#This Row],[Refunds]]</f>
        <v>6175</v>
      </c>
      <c r="I105">
        <f>Table1[[#This Row],[Net_Revenue]]/Table1[[#This Row],[Marketing_Spend]]</f>
        <v>2.4700000000000002</v>
      </c>
      <c r="J105">
        <f>Table1[[#This Row],[Marketing_Spend]]/Table1[[#This Row],[Web_Traffic]]</f>
        <v>0.22727272727272727</v>
      </c>
      <c r="K105" t="str">
        <f>TEXT(Table1[[#This Row],[Date]],"mmm")</f>
        <v>Apr</v>
      </c>
    </row>
    <row r="106" spans="1:11" x14ac:dyDescent="0.35">
      <c r="A106" s="1">
        <v>45763</v>
      </c>
      <c r="B106" t="s">
        <v>7</v>
      </c>
      <c r="C106" t="s">
        <v>8</v>
      </c>
      <c r="D106">
        <v>6500</v>
      </c>
      <c r="E106">
        <v>325</v>
      </c>
      <c r="F106">
        <v>1500</v>
      </c>
      <c r="G106">
        <v>8000</v>
      </c>
      <c r="H106">
        <f>Table1[[#This Row],[Gross_Revenue]]-Table1[[#This Row],[Refunds]]</f>
        <v>6175</v>
      </c>
      <c r="I106">
        <f>Table1[[#This Row],[Net_Revenue]]/Table1[[#This Row],[Marketing_Spend]]</f>
        <v>4.1166666666666663</v>
      </c>
      <c r="J106">
        <f>Table1[[#This Row],[Marketing_Spend]]/Table1[[#This Row],[Web_Traffic]]</f>
        <v>0.1875</v>
      </c>
      <c r="K106" t="str">
        <f>TEXT(Table1[[#This Row],[Date]],"mmm")</f>
        <v>Apr</v>
      </c>
    </row>
    <row r="107" spans="1:11" x14ac:dyDescent="0.35">
      <c r="A107" s="1">
        <v>45819</v>
      </c>
      <c r="B107" t="s">
        <v>7</v>
      </c>
      <c r="C107" t="s">
        <v>8</v>
      </c>
      <c r="D107">
        <v>6500</v>
      </c>
      <c r="E107">
        <v>325</v>
      </c>
      <c r="F107">
        <v>1100</v>
      </c>
      <c r="G107">
        <v>6500</v>
      </c>
      <c r="H107">
        <f>Table1[[#This Row],[Gross_Revenue]]-Table1[[#This Row],[Refunds]]</f>
        <v>6175</v>
      </c>
      <c r="I107">
        <f>Table1[[#This Row],[Net_Revenue]]/Table1[[#This Row],[Marketing_Spend]]</f>
        <v>5.6136363636363633</v>
      </c>
      <c r="J107">
        <f>Table1[[#This Row],[Marketing_Spend]]/Table1[[#This Row],[Web_Traffic]]</f>
        <v>0.16923076923076924</v>
      </c>
      <c r="K107" t="str">
        <f>TEXT(Table1[[#This Row],[Date]],"mmm")</f>
        <v>Jun</v>
      </c>
    </row>
    <row r="108" spans="1:11" x14ac:dyDescent="0.35">
      <c r="A108" s="1">
        <v>45830</v>
      </c>
      <c r="B108" t="s">
        <v>7</v>
      </c>
      <c r="C108" t="s">
        <v>8</v>
      </c>
      <c r="D108">
        <v>6500</v>
      </c>
      <c r="E108">
        <v>325</v>
      </c>
      <c r="F108">
        <v>1100</v>
      </c>
      <c r="G108">
        <v>6500</v>
      </c>
      <c r="H108">
        <f>Table1[[#This Row],[Gross_Revenue]]-Table1[[#This Row],[Refunds]]</f>
        <v>6175</v>
      </c>
      <c r="I108">
        <f>Table1[[#This Row],[Net_Revenue]]/Table1[[#This Row],[Marketing_Spend]]</f>
        <v>5.6136363636363633</v>
      </c>
      <c r="J108">
        <f>Table1[[#This Row],[Marketing_Spend]]/Table1[[#This Row],[Web_Traffic]]</f>
        <v>0.16923076923076924</v>
      </c>
      <c r="K108" t="str">
        <f>TEXT(Table1[[#This Row],[Date]],"mmm")</f>
        <v>Jun</v>
      </c>
    </row>
    <row r="109" spans="1:11" x14ac:dyDescent="0.35">
      <c r="A109" s="1">
        <v>45838</v>
      </c>
      <c r="B109" t="s">
        <v>9</v>
      </c>
      <c r="C109" t="s">
        <v>10</v>
      </c>
      <c r="D109">
        <v>6500</v>
      </c>
      <c r="E109">
        <v>325</v>
      </c>
      <c r="F109">
        <v>1480</v>
      </c>
      <c r="G109">
        <v>7900</v>
      </c>
      <c r="H109">
        <f>Table1[[#This Row],[Gross_Revenue]]-Table1[[#This Row],[Refunds]]</f>
        <v>6175</v>
      </c>
      <c r="I109">
        <f>Table1[[#This Row],[Net_Revenue]]/Table1[[#This Row],[Marketing_Spend]]</f>
        <v>4.1722972972972974</v>
      </c>
      <c r="J109">
        <f>Table1[[#This Row],[Marketing_Spend]]/Table1[[#This Row],[Web_Traffic]]</f>
        <v>0.18734177215189873</v>
      </c>
      <c r="K109" t="str">
        <f>TEXT(Table1[[#This Row],[Date]],"mmm")</f>
        <v>Jun</v>
      </c>
    </row>
    <row r="110" spans="1:11" x14ac:dyDescent="0.35">
      <c r="A110" s="1">
        <v>45859</v>
      </c>
      <c r="B110" t="s">
        <v>7</v>
      </c>
      <c r="C110" t="s">
        <v>8</v>
      </c>
      <c r="D110">
        <v>6500</v>
      </c>
      <c r="E110">
        <v>325</v>
      </c>
      <c r="F110">
        <v>1100</v>
      </c>
      <c r="G110">
        <v>6200</v>
      </c>
      <c r="H110">
        <f>Table1[[#This Row],[Gross_Revenue]]-Table1[[#This Row],[Refunds]]</f>
        <v>6175</v>
      </c>
      <c r="I110">
        <f>Table1[[#This Row],[Net_Revenue]]/Table1[[#This Row],[Marketing_Spend]]</f>
        <v>5.6136363636363633</v>
      </c>
      <c r="J110">
        <f>Table1[[#This Row],[Marketing_Spend]]/Table1[[#This Row],[Web_Traffic]]</f>
        <v>0.17741935483870969</v>
      </c>
      <c r="K110" t="str">
        <f>TEXT(Table1[[#This Row],[Date]],"mmm")</f>
        <v>Jul</v>
      </c>
    </row>
    <row r="111" spans="1:11" x14ac:dyDescent="0.35">
      <c r="A111" s="1">
        <v>45867</v>
      </c>
      <c r="B111" t="s">
        <v>9</v>
      </c>
      <c r="C111" t="s">
        <v>10</v>
      </c>
      <c r="D111">
        <v>6500</v>
      </c>
      <c r="E111">
        <v>325</v>
      </c>
      <c r="F111">
        <v>1480</v>
      </c>
      <c r="G111">
        <v>7900</v>
      </c>
      <c r="H111">
        <f>Table1[[#This Row],[Gross_Revenue]]-Table1[[#This Row],[Refunds]]</f>
        <v>6175</v>
      </c>
      <c r="I111">
        <f>Table1[[#This Row],[Net_Revenue]]/Table1[[#This Row],[Marketing_Spend]]</f>
        <v>4.1722972972972974</v>
      </c>
      <c r="J111">
        <f>Table1[[#This Row],[Marketing_Spend]]/Table1[[#This Row],[Web_Traffic]]</f>
        <v>0.18734177215189873</v>
      </c>
      <c r="K111" t="str">
        <f>TEXT(Table1[[#This Row],[Date]],"mmm")</f>
        <v>Jul</v>
      </c>
    </row>
    <row r="112" spans="1:11" x14ac:dyDescent="0.35">
      <c r="A112" s="1">
        <v>45899</v>
      </c>
      <c r="B112" t="s">
        <v>7</v>
      </c>
      <c r="C112" t="s">
        <v>8</v>
      </c>
      <c r="D112">
        <v>6500</v>
      </c>
      <c r="E112">
        <v>325</v>
      </c>
      <c r="F112">
        <v>1200</v>
      </c>
      <c r="G112">
        <v>6000</v>
      </c>
      <c r="H112">
        <f>Table1[[#This Row],[Gross_Revenue]]-Table1[[#This Row],[Refunds]]</f>
        <v>6175</v>
      </c>
      <c r="I112">
        <f>Table1[[#This Row],[Net_Revenue]]/Table1[[#This Row],[Marketing_Spend]]</f>
        <v>5.145833333333333</v>
      </c>
      <c r="J112">
        <f>Table1[[#This Row],[Marketing_Spend]]/Table1[[#This Row],[Web_Traffic]]</f>
        <v>0.2</v>
      </c>
      <c r="K112" t="str">
        <f>TEXT(Table1[[#This Row],[Date]],"mmm")</f>
        <v>Aug</v>
      </c>
    </row>
    <row r="113" spans="1:11" x14ac:dyDescent="0.35">
      <c r="A113" s="1">
        <v>45818</v>
      </c>
      <c r="B113" t="s">
        <v>7</v>
      </c>
      <c r="C113" t="s">
        <v>8</v>
      </c>
      <c r="D113">
        <v>6450</v>
      </c>
      <c r="E113">
        <v>322</v>
      </c>
      <c r="F113">
        <v>1090</v>
      </c>
      <c r="G113">
        <v>6450</v>
      </c>
      <c r="H113">
        <f>Table1[[#This Row],[Gross_Revenue]]-Table1[[#This Row],[Refunds]]</f>
        <v>6128</v>
      </c>
      <c r="I113">
        <f>Table1[[#This Row],[Net_Revenue]]/Table1[[#This Row],[Marketing_Spend]]</f>
        <v>5.6220183486238531</v>
      </c>
      <c r="J113">
        <f>Table1[[#This Row],[Marketing_Spend]]/Table1[[#This Row],[Web_Traffic]]</f>
        <v>0.16899224806201552</v>
      </c>
      <c r="K113" t="str">
        <f>TEXT(Table1[[#This Row],[Date]],"mmm")</f>
        <v>Jun</v>
      </c>
    </row>
    <row r="114" spans="1:11" x14ac:dyDescent="0.35">
      <c r="A114" s="1">
        <v>45837</v>
      </c>
      <c r="B114" t="s">
        <v>9</v>
      </c>
      <c r="C114" t="s">
        <v>10</v>
      </c>
      <c r="D114">
        <v>6450</v>
      </c>
      <c r="E114">
        <v>322</v>
      </c>
      <c r="F114">
        <v>1470</v>
      </c>
      <c r="G114">
        <v>7850</v>
      </c>
      <c r="H114">
        <f>Table1[[#This Row],[Gross_Revenue]]-Table1[[#This Row],[Refunds]]</f>
        <v>6128</v>
      </c>
      <c r="I114">
        <f>Table1[[#This Row],[Net_Revenue]]/Table1[[#This Row],[Marketing_Spend]]</f>
        <v>4.1687074829931969</v>
      </c>
      <c r="J114">
        <f>Table1[[#This Row],[Marketing_Spend]]/Table1[[#This Row],[Web_Traffic]]</f>
        <v>0.18726114649681527</v>
      </c>
      <c r="K114" t="str">
        <f>TEXT(Table1[[#This Row],[Date]],"mmm")</f>
        <v>Jun</v>
      </c>
    </row>
    <row r="115" spans="1:11" x14ac:dyDescent="0.35">
      <c r="A115" s="1">
        <v>45858</v>
      </c>
      <c r="B115" t="s">
        <v>7</v>
      </c>
      <c r="C115" t="s">
        <v>8</v>
      </c>
      <c r="D115">
        <v>6450</v>
      </c>
      <c r="E115">
        <v>322</v>
      </c>
      <c r="F115">
        <v>1090</v>
      </c>
      <c r="G115">
        <v>6150</v>
      </c>
      <c r="H115">
        <f>Table1[[#This Row],[Gross_Revenue]]-Table1[[#This Row],[Refunds]]</f>
        <v>6128</v>
      </c>
      <c r="I115">
        <f>Table1[[#This Row],[Net_Revenue]]/Table1[[#This Row],[Marketing_Spend]]</f>
        <v>5.6220183486238531</v>
      </c>
      <c r="J115">
        <f>Table1[[#This Row],[Marketing_Spend]]/Table1[[#This Row],[Web_Traffic]]</f>
        <v>0.17723577235772359</v>
      </c>
      <c r="K115" t="str">
        <f>TEXT(Table1[[#This Row],[Date]],"mmm")</f>
        <v>Jul</v>
      </c>
    </row>
    <row r="116" spans="1:11" x14ac:dyDescent="0.35">
      <c r="A116" s="1">
        <v>45866</v>
      </c>
      <c r="B116" t="s">
        <v>9</v>
      </c>
      <c r="C116" t="s">
        <v>10</v>
      </c>
      <c r="D116">
        <v>6450</v>
      </c>
      <c r="E116">
        <v>322</v>
      </c>
      <c r="F116">
        <v>1470</v>
      </c>
      <c r="G116">
        <v>7850</v>
      </c>
      <c r="H116">
        <f>Table1[[#This Row],[Gross_Revenue]]-Table1[[#This Row],[Refunds]]</f>
        <v>6128</v>
      </c>
      <c r="I116">
        <f>Table1[[#This Row],[Net_Revenue]]/Table1[[#This Row],[Marketing_Spend]]</f>
        <v>4.1687074829931969</v>
      </c>
      <c r="J116">
        <f>Table1[[#This Row],[Marketing_Spend]]/Table1[[#This Row],[Web_Traffic]]</f>
        <v>0.18726114649681527</v>
      </c>
      <c r="K116" t="str">
        <f>TEXT(Table1[[#This Row],[Date]],"mmm")</f>
        <v>Jul</v>
      </c>
    </row>
    <row r="117" spans="1:11" x14ac:dyDescent="0.35">
      <c r="A117" s="1">
        <v>45747</v>
      </c>
      <c r="B117" t="s">
        <v>7</v>
      </c>
      <c r="C117" t="s">
        <v>8</v>
      </c>
      <c r="D117">
        <v>6400</v>
      </c>
      <c r="E117">
        <v>320</v>
      </c>
      <c r="F117">
        <v>1080</v>
      </c>
      <c r="G117">
        <v>5500</v>
      </c>
      <c r="H117">
        <f>Table1[[#This Row],[Gross_Revenue]]-Table1[[#This Row],[Refunds]]</f>
        <v>6080</v>
      </c>
      <c r="I117">
        <f>Table1[[#This Row],[Net_Revenue]]/Table1[[#This Row],[Marketing_Spend]]</f>
        <v>5.6296296296296298</v>
      </c>
      <c r="J117">
        <f>Table1[[#This Row],[Marketing_Spend]]/Table1[[#This Row],[Web_Traffic]]</f>
        <v>0.19636363636363635</v>
      </c>
      <c r="K117" t="str">
        <f>TEXT(Table1[[#This Row],[Date]],"mmm")</f>
        <v>Mar</v>
      </c>
    </row>
    <row r="118" spans="1:11" x14ac:dyDescent="0.35">
      <c r="A118" s="1">
        <v>45751</v>
      </c>
      <c r="B118" t="s">
        <v>9</v>
      </c>
      <c r="C118" t="s">
        <v>10</v>
      </c>
      <c r="D118">
        <v>6400</v>
      </c>
      <c r="E118">
        <v>320</v>
      </c>
      <c r="F118">
        <v>1550</v>
      </c>
      <c r="G118">
        <v>7000</v>
      </c>
      <c r="H118">
        <f>Table1[[#This Row],[Gross_Revenue]]-Table1[[#This Row],[Refunds]]</f>
        <v>6080</v>
      </c>
      <c r="I118">
        <f>Table1[[#This Row],[Net_Revenue]]/Table1[[#This Row],[Marketing_Spend]]</f>
        <v>3.9225806451612901</v>
      </c>
      <c r="J118">
        <f>Table1[[#This Row],[Marketing_Spend]]/Table1[[#This Row],[Web_Traffic]]</f>
        <v>0.22142857142857142</v>
      </c>
      <c r="K118" t="str">
        <f>TEXT(Table1[[#This Row],[Date]],"mmm")</f>
        <v>Apr</v>
      </c>
    </row>
    <row r="119" spans="1:11" x14ac:dyDescent="0.35">
      <c r="A119" s="1">
        <v>45817</v>
      </c>
      <c r="B119" t="s">
        <v>7</v>
      </c>
      <c r="C119" t="s">
        <v>8</v>
      </c>
      <c r="D119">
        <v>6400</v>
      </c>
      <c r="E119">
        <v>320</v>
      </c>
      <c r="F119">
        <v>1080</v>
      </c>
      <c r="G119">
        <v>6400</v>
      </c>
      <c r="H119">
        <f>Table1[[#This Row],[Gross_Revenue]]-Table1[[#This Row],[Refunds]]</f>
        <v>6080</v>
      </c>
      <c r="I119">
        <f>Table1[[#This Row],[Net_Revenue]]/Table1[[#This Row],[Marketing_Spend]]</f>
        <v>5.6296296296296298</v>
      </c>
      <c r="J119">
        <f>Table1[[#This Row],[Marketing_Spend]]/Table1[[#This Row],[Web_Traffic]]</f>
        <v>0.16875000000000001</v>
      </c>
      <c r="K119" t="str">
        <f>TEXT(Table1[[#This Row],[Date]],"mmm")</f>
        <v>Jun</v>
      </c>
    </row>
    <row r="120" spans="1:11" x14ac:dyDescent="0.35">
      <c r="A120" s="1">
        <v>45836</v>
      </c>
      <c r="B120" t="s">
        <v>9</v>
      </c>
      <c r="C120" t="s">
        <v>10</v>
      </c>
      <c r="D120">
        <v>6400</v>
      </c>
      <c r="E120">
        <v>320</v>
      </c>
      <c r="F120">
        <v>1460</v>
      </c>
      <c r="G120">
        <v>7800</v>
      </c>
      <c r="H120">
        <f>Table1[[#This Row],[Gross_Revenue]]-Table1[[#This Row],[Refunds]]</f>
        <v>6080</v>
      </c>
      <c r="I120">
        <f>Table1[[#This Row],[Net_Revenue]]/Table1[[#This Row],[Marketing_Spend]]</f>
        <v>4.1643835616438354</v>
      </c>
      <c r="J120">
        <f>Table1[[#This Row],[Marketing_Spend]]/Table1[[#This Row],[Web_Traffic]]</f>
        <v>0.18717948717948718</v>
      </c>
      <c r="K120" t="str">
        <f>TEXT(Table1[[#This Row],[Date]],"mmm")</f>
        <v>Jun</v>
      </c>
    </row>
    <row r="121" spans="1:11" x14ac:dyDescent="0.35">
      <c r="A121" s="1">
        <v>45857</v>
      </c>
      <c r="B121" t="s">
        <v>7</v>
      </c>
      <c r="C121" t="s">
        <v>8</v>
      </c>
      <c r="D121">
        <v>6400</v>
      </c>
      <c r="E121">
        <v>320</v>
      </c>
      <c r="F121">
        <v>1080</v>
      </c>
      <c r="G121">
        <v>6100</v>
      </c>
      <c r="H121">
        <f>Table1[[#This Row],[Gross_Revenue]]-Table1[[#This Row],[Refunds]]</f>
        <v>6080</v>
      </c>
      <c r="I121">
        <f>Table1[[#This Row],[Net_Revenue]]/Table1[[#This Row],[Marketing_Spend]]</f>
        <v>5.6296296296296298</v>
      </c>
      <c r="J121">
        <f>Table1[[#This Row],[Marketing_Spend]]/Table1[[#This Row],[Web_Traffic]]</f>
        <v>0.17704918032786884</v>
      </c>
      <c r="K121" t="str">
        <f>TEXT(Table1[[#This Row],[Date]],"mmm")</f>
        <v>Jul</v>
      </c>
    </row>
    <row r="122" spans="1:11" x14ac:dyDescent="0.35">
      <c r="A122" s="1">
        <v>45865</v>
      </c>
      <c r="B122" t="s">
        <v>9</v>
      </c>
      <c r="C122" t="s">
        <v>10</v>
      </c>
      <c r="D122">
        <v>6400</v>
      </c>
      <c r="E122">
        <v>320</v>
      </c>
      <c r="F122">
        <v>1460</v>
      </c>
      <c r="G122">
        <v>7800</v>
      </c>
      <c r="H122">
        <f>Table1[[#This Row],[Gross_Revenue]]-Table1[[#This Row],[Refunds]]</f>
        <v>6080</v>
      </c>
      <c r="I122">
        <f>Table1[[#This Row],[Net_Revenue]]/Table1[[#This Row],[Marketing_Spend]]</f>
        <v>4.1643835616438354</v>
      </c>
      <c r="J122">
        <f>Table1[[#This Row],[Marketing_Spend]]/Table1[[#This Row],[Web_Traffic]]</f>
        <v>0.18717948717948718</v>
      </c>
      <c r="K122" t="str">
        <f>TEXT(Table1[[#This Row],[Date]],"mmm")</f>
        <v>Jul</v>
      </c>
    </row>
    <row r="123" spans="1:11" x14ac:dyDescent="0.35">
      <c r="A123" s="1">
        <v>45898</v>
      </c>
      <c r="B123" t="s">
        <v>7</v>
      </c>
      <c r="C123" t="s">
        <v>8</v>
      </c>
      <c r="D123">
        <v>6400</v>
      </c>
      <c r="E123">
        <v>320</v>
      </c>
      <c r="F123">
        <v>1150</v>
      </c>
      <c r="G123">
        <v>5900</v>
      </c>
      <c r="H123">
        <f>Table1[[#This Row],[Gross_Revenue]]-Table1[[#This Row],[Refunds]]</f>
        <v>6080</v>
      </c>
      <c r="I123">
        <f>Table1[[#This Row],[Net_Revenue]]/Table1[[#This Row],[Marketing_Spend]]</f>
        <v>5.2869565217391301</v>
      </c>
      <c r="J123">
        <f>Table1[[#This Row],[Marketing_Spend]]/Table1[[#This Row],[Web_Traffic]]</f>
        <v>0.19491525423728814</v>
      </c>
      <c r="K123" t="str">
        <f>TEXT(Table1[[#This Row],[Date]],"mmm")</f>
        <v>Aug</v>
      </c>
    </row>
    <row r="124" spans="1:11" x14ac:dyDescent="0.35">
      <c r="A124" s="1">
        <v>45746</v>
      </c>
      <c r="B124" t="s">
        <v>7</v>
      </c>
      <c r="C124" t="s">
        <v>8</v>
      </c>
      <c r="D124">
        <v>6350</v>
      </c>
      <c r="E124">
        <v>317</v>
      </c>
      <c r="F124">
        <v>1070</v>
      </c>
      <c r="G124">
        <v>5450</v>
      </c>
      <c r="H124">
        <f>Table1[[#This Row],[Gross_Revenue]]-Table1[[#This Row],[Refunds]]</f>
        <v>6033</v>
      </c>
      <c r="I124">
        <f>Table1[[#This Row],[Net_Revenue]]/Table1[[#This Row],[Marketing_Spend]]</f>
        <v>5.6383177570093457</v>
      </c>
      <c r="J124">
        <f>Table1[[#This Row],[Marketing_Spend]]/Table1[[#This Row],[Web_Traffic]]</f>
        <v>0.19633027522935781</v>
      </c>
      <c r="K124" t="str">
        <f>TEXT(Table1[[#This Row],[Date]],"mmm")</f>
        <v>Mar</v>
      </c>
    </row>
    <row r="125" spans="1:11" x14ac:dyDescent="0.35">
      <c r="A125" s="1">
        <v>45816</v>
      </c>
      <c r="B125" t="s">
        <v>7</v>
      </c>
      <c r="C125" t="s">
        <v>8</v>
      </c>
      <c r="D125">
        <v>6350</v>
      </c>
      <c r="E125">
        <v>317</v>
      </c>
      <c r="F125">
        <v>1070</v>
      </c>
      <c r="G125">
        <v>6350</v>
      </c>
      <c r="H125">
        <f>Table1[[#This Row],[Gross_Revenue]]-Table1[[#This Row],[Refunds]]</f>
        <v>6033</v>
      </c>
      <c r="I125">
        <f>Table1[[#This Row],[Net_Revenue]]/Table1[[#This Row],[Marketing_Spend]]</f>
        <v>5.6383177570093457</v>
      </c>
      <c r="J125">
        <f>Table1[[#This Row],[Marketing_Spend]]/Table1[[#This Row],[Web_Traffic]]</f>
        <v>0.16850393700787403</v>
      </c>
      <c r="K125" t="str">
        <f>TEXT(Table1[[#This Row],[Date]],"mmm")</f>
        <v>Jun</v>
      </c>
    </row>
    <row r="126" spans="1:11" x14ac:dyDescent="0.35">
      <c r="A126" s="1">
        <v>45835</v>
      </c>
      <c r="B126" t="s">
        <v>9</v>
      </c>
      <c r="C126" t="s">
        <v>10</v>
      </c>
      <c r="D126">
        <v>6350</v>
      </c>
      <c r="E126">
        <v>317</v>
      </c>
      <c r="F126">
        <v>1450</v>
      </c>
      <c r="G126">
        <v>7750</v>
      </c>
      <c r="H126">
        <f>Table1[[#This Row],[Gross_Revenue]]-Table1[[#This Row],[Refunds]]</f>
        <v>6033</v>
      </c>
      <c r="I126">
        <f>Table1[[#This Row],[Net_Revenue]]/Table1[[#This Row],[Marketing_Spend]]</f>
        <v>4.1606896551724137</v>
      </c>
      <c r="J126">
        <f>Table1[[#This Row],[Marketing_Spend]]/Table1[[#This Row],[Web_Traffic]]</f>
        <v>0.18709677419354839</v>
      </c>
      <c r="K126" t="str">
        <f>TEXT(Table1[[#This Row],[Date]],"mmm")</f>
        <v>Jun</v>
      </c>
    </row>
    <row r="127" spans="1:11" x14ac:dyDescent="0.35">
      <c r="A127" s="1">
        <v>45856</v>
      </c>
      <c r="B127" t="s">
        <v>7</v>
      </c>
      <c r="C127" t="s">
        <v>8</v>
      </c>
      <c r="D127">
        <v>6350</v>
      </c>
      <c r="E127">
        <v>317</v>
      </c>
      <c r="F127">
        <v>1070</v>
      </c>
      <c r="G127">
        <v>6050</v>
      </c>
      <c r="H127">
        <f>Table1[[#This Row],[Gross_Revenue]]-Table1[[#This Row],[Refunds]]</f>
        <v>6033</v>
      </c>
      <c r="I127">
        <f>Table1[[#This Row],[Net_Revenue]]/Table1[[#This Row],[Marketing_Spend]]</f>
        <v>5.6383177570093457</v>
      </c>
      <c r="J127">
        <f>Table1[[#This Row],[Marketing_Spend]]/Table1[[#This Row],[Web_Traffic]]</f>
        <v>0.17685950413223139</v>
      </c>
      <c r="K127" t="str">
        <f>TEXT(Table1[[#This Row],[Date]],"mmm")</f>
        <v>Jul</v>
      </c>
    </row>
    <row r="128" spans="1:11" x14ac:dyDescent="0.35">
      <c r="A128" s="1">
        <v>45864</v>
      </c>
      <c r="B128" t="s">
        <v>9</v>
      </c>
      <c r="C128" t="s">
        <v>10</v>
      </c>
      <c r="D128">
        <v>6350</v>
      </c>
      <c r="E128">
        <v>317</v>
      </c>
      <c r="F128">
        <v>1450</v>
      </c>
      <c r="G128">
        <v>7750</v>
      </c>
      <c r="H128">
        <f>Table1[[#This Row],[Gross_Revenue]]-Table1[[#This Row],[Refunds]]</f>
        <v>6033</v>
      </c>
      <c r="I128">
        <f>Table1[[#This Row],[Net_Revenue]]/Table1[[#This Row],[Marketing_Spend]]</f>
        <v>4.1606896551724137</v>
      </c>
      <c r="J128">
        <f>Table1[[#This Row],[Marketing_Spend]]/Table1[[#This Row],[Web_Traffic]]</f>
        <v>0.18709677419354839</v>
      </c>
      <c r="K128" t="str">
        <f>TEXT(Table1[[#This Row],[Date]],"mmm")</f>
        <v>Jul</v>
      </c>
    </row>
    <row r="129" spans="1:11" x14ac:dyDescent="0.35">
      <c r="A129" s="1">
        <v>45745</v>
      </c>
      <c r="B129" t="s">
        <v>7</v>
      </c>
      <c r="C129" t="s">
        <v>8</v>
      </c>
      <c r="D129">
        <v>6300</v>
      </c>
      <c r="E129">
        <v>315</v>
      </c>
      <c r="F129">
        <v>1060</v>
      </c>
      <c r="G129">
        <v>5400</v>
      </c>
      <c r="H129">
        <f>Table1[[#This Row],[Gross_Revenue]]-Table1[[#This Row],[Refunds]]</f>
        <v>5985</v>
      </c>
      <c r="I129">
        <f>Table1[[#This Row],[Net_Revenue]]/Table1[[#This Row],[Marketing_Spend]]</f>
        <v>5.6462264150943398</v>
      </c>
      <c r="J129">
        <f>Table1[[#This Row],[Marketing_Spend]]/Table1[[#This Row],[Web_Traffic]]</f>
        <v>0.1962962962962963</v>
      </c>
      <c r="K129" t="str">
        <f>TEXT(Table1[[#This Row],[Date]],"mmm")</f>
        <v>Mar</v>
      </c>
    </row>
    <row r="130" spans="1:11" x14ac:dyDescent="0.35">
      <c r="A130" s="1">
        <v>45750</v>
      </c>
      <c r="B130" t="s">
        <v>9</v>
      </c>
      <c r="C130" t="s">
        <v>10</v>
      </c>
      <c r="D130">
        <v>6300</v>
      </c>
      <c r="E130">
        <v>315</v>
      </c>
      <c r="F130">
        <v>1500</v>
      </c>
      <c r="G130">
        <v>6900</v>
      </c>
      <c r="H130">
        <f>Table1[[#This Row],[Gross_Revenue]]-Table1[[#This Row],[Refunds]]</f>
        <v>5985</v>
      </c>
      <c r="I130">
        <f>Table1[[#This Row],[Net_Revenue]]/Table1[[#This Row],[Marketing_Spend]]</f>
        <v>3.99</v>
      </c>
      <c r="J130">
        <f>Table1[[#This Row],[Marketing_Spend]]/Table1[[#This Row],[Web_Traffic]]</f>
        <v>0.21739130434782608</v>
      </c>
      <c r="K130" t="str">
        <f>TEXT(Table1[[#This Row],[Date]],"mmm")</f>
        <v>Apr</v>
      </c>
    </row>
    <row r="131" spans="1:11" x14ac:dyDescent="0.35">
      <c r="A131" s="1">
        <v>45815</v>
      </c>
      <c r="B131" t="s">
        <v>7</v>
      </c>
      <c r="C131" t="s">
        <v>8</v>
      </c>
      <c r="D131">
        <v>6300</v>
      </c>
      <c r="E131">
        <v>315</v>
      </c>
      <c r="F131">
        <v>1060</v>
      </c>
      <c r="G131">
        <v>6300</v>
      </c>
      <c r="H131">
        <f>Table1[[#This Row],[Gross_Revenue]]-Table1[[#This Row],[Refunds]]</f>
        <v>5985</v>
      </c>
      <c r="I131">
        <f>Table1[[#This Row],[Net_Revenue]]/Table1[[#This Row],[Marketing_Spend]]</f>
        <v>5.6462264150943398</v>
      </c>
      <c r="J131">
        <f>Table1[[#This Row],[Marketing_Spend]]/Table1[[#This Row],[Web_Traffic]]</f>
        <v>0.16825396825396827</v>
      </c>
      <c r="K131" t="str">
        <f>TEXT(Table1[[#This Row],[Date]],"mmm")</f>
        <v>Jun</v>
      </c>
    </row>
    <row r="132" spans="1:11" x14ac:dyDescent="0.35">
      <c r="A132" s="1">
        <v>45834</v>
      </c>
      <c r="B132" t="s">
        <v>9</v>
      </c>
      <c r="C132" t="s">
        <v>10</v>
      </c>
      <c r="D132">
        <v>6300</v>
      </c>
      <c r="E132">
        <v>315</v>
      </c>
      <c r="F132">
        <v>1440</v>
      </c>
      <c r="G132">
        <v>7700</v>
      </c>
      <c r="H132">
        <f>Table1[[#This Row],[Gross_Revenue]]-Table1[[#This Row],[Refunds]]</f>
        <v>5985</v>
      </c>
      <c r="I132">
        <f>Table1[[#This Row],[Net_Revenue]]/Table1[[#This Row],[Marketing_Spend]]</f>
        <v>4.15625</v>
      </c>
      <c r="J132">
        <f>Table1[[#This Row],[Marketing_Spend]]/Table1[[#This Row],[Web_Traffic]]</f>
        <v>0.18701298701298702</v>
      </c>
      <c r="K132" t="str">
        <f>TEXT(Table1[[#This Row],[Date]],"mmm")</f>
        <v>Jun</v>
      </c>
    </row>
    <row r="133" spans="1:11" x14ac:dyDescent="0.35">
      <c r="A133" s="1">
        <v>45855</v>
      </c>
      <c r="B133" t="s">
        <v>7</v>
      </c>
      <c r="C133" t="s">
        <v>8</v>
      </c>
      <c r="D133">
        <v>6300</v>
      </c>
      <c r="E133">
        <v>315</v>
      </c>
      <c r="F133">
        <v>1060</v>
      </c>
      <c r="G133">
        <v>6000</v>
      </c>
      <c r="H133">
        <f>Table1[[#This Row],[Gross_Revenue]]-Table1[[#This Row],[Refunds]]</f>
        <v>5985</v>
      </c>
      <c r="I133">
        <f>Table1[[#This Row],[Net_Revenue]]/Table1[[#This Row],[Marketing_Spend]]</f>
        <v>5.6462264150943398</v>
      </c>
      <c r="J133">
        <f>Table1[[#This Row],[Marketing_Spend]]/Table1[[#This Row],[Web_Traffic]]</f>
        <v>0.17666666666666667</v>
      </c>
      <c r="K133" t="str">
        <f>TEXT(Table1[[#This Row],[Date]],"mmm")</f>
        <v>Jul</v>
      </c>
    </row>
    <row r="134" spans="1:11" x14ac:dyDescent="0.35">
      <c r="A134" s="1">
        <v>45863</v>
      </c>
      <c r="B134" t="s">
        <v>9</v>
      </c>
      <c r="C134" t="s">
        <v>10</v>
      </c>
      <c r="D134">
        <v>6300</v>
      </c>
      <c r="E134">
        <v>315</v>
      </c>
      <c r="F134">
        <v>1440</v>
      </c>
      <c r="G134">
        <v>7700</v>
      </c>
      <c r="H134">
        <f>Table1[[#This Row],[Gross_Revenue]]-Table1[[#This Row],[Refunds]]</f>
        <v>5985</v>
      </c>
      <c r="I134">
        <f>Table1[[#This Row],[Net_Revenue]]/Table1[[#This Row],[Marketing_Spend]]</f>
        <v>4.15625</v>
      </c>
      <c r="J134">
        <f>Table1[[#This Row],[Marketing_Spend]]/Table1[[#This Row],[Web_Traffic]]</f>
        <v>0.18701298701298702</v>
      </c>
      <c r="K134" t="str">
        <f>TEXT(Table1[[#This Row],[Date]],"mmm")</f>
        <v>Jul</v>
      </c>
    </row>
    <row r="135" spans="1:11" x14ac:dyDescent="0.35">
      <c r="A135" s="1">
        <v>45900</v>
      </c>
      <c r="B135" t="s">
        <v>9</v>
      </c>
      <c r="C135" t="s">
        <v>10</v>
      </c>
      <c r="D135">
        <v>6300</v>
      </c>
      <c r="E135">
        <v>315</v>
      </c>
      <c r="F135">
        <v>1550</v>
      </c>
      <c r="G135">
        <v>7600</v>
      </c>
      <c r="H135">
        <f>Table1[[#This Row],[Gross_Revenue]]-Table1[[#This Row],[Refunds]]</f>
        <v>5985</v>
      </c>
      <c r="I135">
        <f>Table1[[#This Row],[Net_Revenue]]/Table1[[#This Row],[Marketing_Spend]]</f>
        <v>3.8612903225806452</v>
      </c>
      <c r="J135">
        <f>Table1[[#This Row],[Marketing_Spend]]/Table1[[#This Row],[Web_Traffic]]</f>
        <v>0.20394736842105263</v>
      </c>
      <c r="K135" t="str">
        <f>TEXT(Table1[[#This Row],[Date]],"mmm")</f>
        <v>Aug</v>
      </c>
    </row>
    <row r="136" spans="1:11" x14ac:dyDescent="0.35">
      <c r="A136" s="1">
        <v>45744</v>
      </c>
      <c r="B136" t="s">
        <v>7</v>
      </c>
      <c r="C136" t="s">
        <v>8</v>
      </c>
      <c r="D136">
        <v>6250</v>
      </c>
      <c r="E136">
        <v>312</v>
      </c>
      <c r="F136">
        <v>1050</v>
      </c>
      <c r="G136">
        <v>5350</v>
      </c>
      <c r="H136">
        <f>Table1[[#This Row],[Gross_Revenue]]-Table1[[#This Row],[Refunds]]</f>
        <v>5938</v>
      </c>
      <c r="I136">
        <f>Table1[[#This Row],[Net_Revenue]]/Table1[[#This Row],[Marketing_Spend]]</f>
        <v>5.6552380952380954</v>
      </c>
      <c r="J136">
        <f>Table1[[#This Row],[Marketing_Spend]]/Table1[[#This Row],[Web_Traffic]]</f>
        <v>0.19626168224299065</v>
      </c>
      <c r="K136" t="str">
        <f>TEXT(Table1[[#This Row],[Date]],"mmm")</f>
        <v>Mar</v>
      </c>
    </row>
    <row r="137" spans="1:11" x14ac:dyDescent="0.35">
      <c r="A137" s="1">
        <v>45814</v>
      </c>
      <c r="B137" t="s">
        <v>7</v>
      </c>
      <c r="C137" t="s">
        <v>8</v>
      </c>
      <c r="D137">
        <v>6250</v>
      </c>
      <c r="E137">
        <v>312</v>
      </c>
      <c r="F137">
        <v>1050</v>
      </c>
      <c r="G137">
        <v>6250</v>
      </c>
      <c r="H137">
        <f>Table1[[#This Row],[Gross_Revenue]]-Table1[[#This Row],[Refunds]]</f>
        <v>5938</v>
      </c>
      <c r="I137">
        <f>Table1[[#This Row],[Net_Revenue]]/Table1[[#This Row],[Marketing_Spend]]</f>
        <v>5.6552380952380954</v>
      </c>
      <c r="J137">
        <f>Table1[[#This Row],[Marketing_Spend]]/Table1[[#This Row],[Web_Traffic]]</f>
        <v>0.16800000000000001</v>
      </c>
      <c r="K137" t="str">
        <f>TEXT(Table1[[#This Row],[Date]],"mmm")</f>
        <v>Jun</v>
      </c>
    </row>
    <row r="138" spans="1:11" x14ac:dyDescent="0.35">
      <c r="A138" s="1">
        <v>45822</v>
      </c>
      <c r="B138" t="s">
        <v>9</v>
      </c>
      <c r="C138" t="s">
        <v>10</v>
      </c>
      <c r="D138">
        <v>6250</v>
      </c>
      <c r="E138">
        <v>312</v>
      </c>
      <c r="F138">
        <v>1430</v>
      </c>
      <c r="G138">
        <v>7650</v>
      </c>
      <c r="H138">
        <f>Table1[[#This Row],[Gross_Revenue]]-Table1[[#This Row],[Refunds]]</f>
        <v>5938</v>
      </c>
      <c r="I138">
        <f>Table1[[#This Row],[Net_Revenue]]/Table1[[#This Row],[Marketing_Spend]]</f>
        <v>4.1524475524475521</v>
      </c>
      <c r="J138">
        <f>Table1[[#This Row],[Marketing_Spend]]/Table1[[#This Row],[Web_Traffic]]</f>
        <v>0.1869281045751634</v>
      </c>
      <c r="K138" t="str">
        <f>TEXT(Table1[[#This Row],[Date]],"mmm")</f>
        <v>Jun</v>
      </c>
    </row>
    <row r="139" spans="1:11" x14ac:dyDescent="0.35">
      <c r="A139" s="1">
        <v>45833</v>
      </c>
      <c r="B139" t="s">
        <v>9</v>
      </c>
      <c r="C139" t="s">
        <v>10</v>
      </c>
      <c r="D139">
        <v>6250</v>
      </c>
      <c r="E139">
        <v>312</v>
      </c>
      <c r="F139">
        <v>1430</v>
      </c>
      <c r="G139">
        <v>7650</v>
      </c>
      <c r="H139">
        <f>Table1[[#This Row],[Gross_Revenue]]-Table1[[#This Row],[Refunds]]</f>
        <v>5938</v>
      </c>
      <c r="I139">
        <f>Table1[[#This Row],[Net_Revenue]]/Table1[[#This Row],[Marketing_Spend]]</f>
        <v>4.1524475524475521</v>
      </c>
      <c r="J139">
        <f>Table1[[#This Row],[Marketing_Spend]]/Table1[[#This Row],[Web_Traffic]]</f>
        <v>0.1869281045751634</v>
      </c>
      <c r="K139" t="str">
        <f>TEXT(Table1[[#This Row],[Date]],"mmm")</f>
        <v>Jun</v>
      </c>
    </row>
    <row r="140" spans="1:11" x14ac:dyDescent="0.35">
      <c r="A140" s="1">
        <v>45854</v>
      </c>
      <c r="B140" t="s">
        <v>7</v>
      </c>
      <c r="C140" t="s">
        <v>8</v>
      </c>
      <c r="D140">
        <v>6250</v>
      </c>
      <c r="E140">
        <v>312</v>
      </c>
      <c r="F140">
        <v>1050</v>
      </c>
      <c r="G140">
        <v>5950</v>
      </c>
      <c r="H140">
        <f>Table1[[#This Row],[Gross_Revenue]]-Table1[[#This Row],[Refunds]]</f>
        <v>5938</v>
      </c>
      <c r="I140">
        <f>Table1[[#This Row],[Net_Revenue]]/Table1[[#This Row],[Marketing_Spend]]</f>
        <v>5.6552380952380954</v>
      </c>
      <c r="J140">
        <f>Table1[[#This Row],[Marketing_Spend]]/Table1[[#This Row],[Web_Traffic]]</f>
        <v>0.17647058823529413</v>
      </c>
      <c r="K140" t="str">
        <f>TEXT(Table1[[#This Row],[Date]],"mmm")</f>
        <v>Jul</v>
      </c>
    </row>
    <row r="141" spans="1:11" x14ac:dyDescent="0.35">
      <c r="A141" s="1">
        <v>45862</v>
      </c>
      <c r="B141" t="s">
        <v>9</v>
      </c>
      <c r="C141" t="s">
        <v>10</v>
      </c>
      <c r="D141">
        <v>6250</v>
      </c>
      <c r="E141">
        <v>312</v>
      </c>
      <c r="F141">
        <v>1430</v>
      </c>
      <c r="G141">
        <v>7650</v>
      </c>
      <c r="H141">
        <f>Table1[[#This Row],[Gross_Revenue]]-Table1[[#This Row],[Refunds]]</f>
        <v>5938</v>
      </c>
      <c r="I141">
        <f>Table1[[#This Row],[Net_Revenue]]/Table1[[#This Row],[Marketing_Spend]]</f>
        <v>4.1524475524475521</v>
      </c>
      <c r="J141">
        <f>Table1[[#This Row],[Marketing_Spend]]/Table1[[#This Row],[Web_Traffic]]</f>
        <v>0.1869281045751634</v>
      </c>
      <c r="K141" t="str">
        <f>TEXT(Table1[[#This Row],[Date]],"mmm")</f>
        <v>Jul</v>
      </c>
    </row>
    <row r="142" spans="1:11" x14ac:dyDescent="0.35">
      <c r="A142" s="1">
        <v>45743</v>
      </c>
      <c r="B142" t="s">
        <v>7</v>
      </c>
      <c r="C142" t="s">
        <v>8</v>
      </c>
      <c r="D142">
        <v>6200</v>
      </c>
      <c r="E142">
        <v>310</v>
      </c>
      <c r="F142">
        <v>1040</v>
      </c>
      <c r="G142">
        <v>5300</v>
      </c>
      <c r="H142">
        <f>Table1[[#This Row],[Gross_Revenue]]-Table1[[#This Row],[Refunds]]</f>
        <v>5890</v>
      </c>
      <c r="I142">
        <f>Table1[[#This Row],[Net_Revenue]]/Table1[[#This Row],[Marketing_Spend]]</f>
        <v>5.6634615384615383</v>
      </c>
      <c r="J142">
        <f>Table1[[#This Row],[Marketing_Spend]]/Table1[[#This Row],[Web_Traffic]]</f>
        <v>0.19622641509433963</v>
      </c>
      <c r="K142" t="str">
        <f>TEXT(Table1[[#This Row],[Date]],"mmm")</f>
        <v>Mar</v>
      </c>
    </row>
    <row r="143" spans="1:11" x14ac:dyDescent="0.35">
      <c r="A143" s="1">
        <v>45749</v>
      </c>
      <c r="B143" t="s">
        <v>9</v>
      </c>
      <c r="C143" t="s">
        <v>10</v>
      </c>
      <c r="D143">
        <v>6200</v>
      </c>
      <c r="E143">
        <v>310</v>
      </c>
      <c r="F143">
        <v>1450</v>
      </c>
      <c r="G143">
        <v>6800</v>
      </c>
      <c r="H143">
        <f>Table1[[#This Row],[Gross_Revenue]]-Table1[[#This Row],[Refunds]]</f>
        <v>5890</v>
      </c>
      <c r="I143">
        <f>Table1[[#This Row],[Net_Revenue]]/Table1[[#This Row],[Marketing_Spend]]</f>
        <v>4.0620689655172413</v>
      </c>
      <c r="J143">
        <f>Table1[[#This Row],[Marketing_Spend]]/Table1[[#This Row],[Web_Traffic]]</f>
        <v>0.21323529411764705</v>
      </c>
      <c r="K143" t="str">
        <f>TEXT(Table1[[#This Row],[Date]],"mmm")</f>
        <v>Apr</v>
      </c>
    </row>
    <row r="144" spans="1:11" x14ac:dyDescent="0.35">
      <c r="A144" s="1">
        <v>45808</v>
      </c>
      <c r="B144" t="s">
        <v>7</v>
      </c>
      <c r="C144" t="s">
        <v>8</v>
      </c>
      <c r="D144">
        <v>6200</v>
      </c>
      <c r="E144">
        <v>310</v>
      </c>
      <c r="F144">
        <v>1100</v>
      </c>
      <c r="G144">
        <v>6200</v>
      </c>
      <c r="H144">
        <f>Table1[[#This Row],[Gross_Revenue]]-Table1[[#This Row],[Refunds]]</f>
        <v>5890</v>
      </c>
      <c r="I144">
        <f>Table1[[#This Row],[Net_Revenue]]/Table1[[#This Row],[Marketing_Spend]]</f>
        <v>5.3545454545454545</v>
      </c>
      <c r="J144">
        <f>Table1[[#This Row],[Marketing_Spend]]/Table1[[#This Row],[Web_Traffic]]</f>
        <v>0.17741935483870969</v>
      </c>
      <c r="K144" t="str">
        <f>TEXT(Table1[[#This Row],[Date]],"mmm")</f>
        <v>May</v>
      </c>
    </row>
    <row r="145" spans="1:11" x14ac:dyDescent="0.35">
      <c r="A145" s="1">
        <v>45813</v>
      </c>
      <c r="B145" t="s">
        <v>7</v>
      </c>
      <c r="C145" t="s">
        <v>8</v>
      </c>
      <c r="D145">
        <v>6200</v>
      </c>
      <c r="E145">
        <v>310</v>
      </c>
      <c r="F145">
        <v>1040</v>
      </c>
      <c r="G145">
        <v>6200</v>
      </c>
      <c r="H145">
        <f>Table1[[#This Row],[Gross_Revenue]]-Table1[[#This Row],[Refunds]]</f>
        <v>5890</v>
      </c>
      <c r="I145">
        <f>Table1[[#This Row],[Net_Revenue]]/Table1[[#This Row],[Marketing_Spend]]</f>
        <v>5.6634615384615383</v>
      </c>
      <c r="J145">
        <f>Table1[[#This Row],[Marketing_Spend]]/Table1[[#This Row],[Web_Traffic]]</f>
        <v>0.16774193548387098</v>
      </c>
      <c r="K145" t="str">
        <f>TEXT(Table1[[#This Row],[Date]],"mmm")</f>
        <v>Jun</v>
      </c>
    </row>
    <row r="146" spans="1:11" x14ac:dyDescent="0.35">
      <c r="A146" s="1">
        <v>45821</v>
      </c>
      <c r="B146" t="s">
        <v>9</v>
      </c>
      <c r="C146" t="s">
        <v>10</v>
      </c>
      <c r="D146">
        <v>6200</v>
      </c>
      <c r="E146">
        <v>310</v>
      </c>
      <c r="F146">
        <v>1420</v>
      </c>
      <c r="G146">
        <v>7600</v>
      </c>
      <c r="H146">
        <f>Table1[[#This Row],[Gross_Revenue]]-Table1[[#This Row],[Refunds]]</f>
        <v>5890</v>
      </c>
      <c r="I146">
        <f>Table1[[#This Row],[Net_Revenue]]/Table1[[#This Row],[Marketing_Spend]]</f>
        <v>4.147887323943662</v>
      </c>
      <c r="J146">
        <f>Table1[[#This Row],[Marketing_Spend]]/Table1[[#This Row],[Web_Traffic]]</f>
        <v>0.18684210526315789</v>
      </c>
      <c r="K146" t="str">
        <f>TEXT(Table1[[#This Row],[Date]],"mmm")</f>
        <v>Jun</v>
      </c>
    </row>
    <row r="147" spans="1:11" x14ac:dyDescent="0.35">
      <c r="A147" s="1">
        <v>45832</v>
      </c>
      <c r="B147" t="s">
        <v>9</v>
      </c>
      <c r="C147" t="s">
        <v>10</v>
      </c>
      <c r="D147">
        <v>6200</v>
      </c>
      <c r="E147">
        <v>310</v>
      </c>
      <c r="F147">
        <v>1420</v>
      </c>
      <c r="G147">
        <v>7600</v>
      </c>
      <c r="H147">
        <f>Table1[[#This Row],[Gross_Revenue]]-Table1[[#This Row],[Refunds]]</f>
        <v>5890</v>
      </c>
      <c r="I147">
        <f>Table1[[#This Row],[Net_Revenue]]/Table1[[#This Row],[Marketing_Spend]]</f>
        <v>4.147887323943662</v>
      </c>
      <c r="J147">
        <f>Table1[[#This Row],[Marketing_Spend]]/Table1[[#This Row],[Web_Traffic]]</f>
        <v>0.18684210526315789</v>
      </c>
      <c r="K147" t="str">
        <f>TEXT(Table1[[#This Row],[Date]],"mmm")</f>
        <v>Jun</v>
      </c>
    </row>
    <row r="148" spans="1:11" x14ac:dyDescent="0.35">
      <c r="A148" s="1">
        <v>45853</v>
      </c>
      <c r="B148" t="s">
        <v>7</v>
      </c>
      <c r="C148" t="s">
        <v>8</v>
      </c>
      <c r="D148">
        <v>6200</v>
      </c>
      <c r="E148">
        <v>310</v>
      </c>
      <c r="F148">
        <v>1040</v>
      </c>
      <c r="G148">
        <v>5900</v>
      </c>
      <c r="H148">
        <f>Table1[[#This Row],[Gross_Revenue]]-Table1[[#This Row],[Refunds]]</f>
        <v>5890</v>
      </c>
      <c r="I148">
        <f>Table1[[#This Row],[Net_Revenue]]/Table1[[#This Row],[Marketing_Spend]]</f>
        <v>5.6634615384615383</v>
      </c>
      <c r="J148">
        <f>Table1[[#This Row],[Marketing_Spend]]/Table1[[#This Row],[Web_Traffic]]</f>
        <v>0.17627118644067796</v>
      </c>
      <c r="K148" t="str">
        <f>TEXT(Table1[[#This Row],[Date]],"mmm")</f>
        <v>Jul</v>
      </c>
    </row>
    <row r="149" spans="1:11" x14ac:dyDescent="0.35">
      <c r="A149" s="1">
        <v>45861</v>
      </c>
      <c r="B149" t="s">
        <v>9</v>
      </c>
      <c r="C149" t="s">
        <v>10</v>
      </c>
      <c r="D149">
        <v>6200</v>
      </c>
      <c r="E149">
        <v>310</v>
      </c>
      <c r="F149">
        <v>1420</v>
      </c>
      <c r="G149">
        <v>7600</v>
      </c>
      <c r="H149">
        <f>Table1[[#This Row],[Gross_Revenue]]-Table1[[#This Row],[Refunds]]</f>
        <v>5890</v>
      </c>
      <c r="I149">
        <f>Table1[[#This Row],[Net_Revenue]]/Table1[[#This Row],[Marketing_Spend]]</f>
        <v>4.147887323943662</v>
      </c>
      <c r="J149">
        <f>Table1[[#This Row],[Marketing_Spend]]/Table1[[#This Row],[Web_Traffic]]</f>
        <v>0.18684210526315789</v>
      </c>
      <c r="K149" t="str">
        <f>TEXT(Table1[[#This Row],[Date]],"mmm")</f>
        <v>Jul</v>
      </c>
    </row>
    <row r="150" spans="1:11" x14ac:dyDescent="0.35">
      <c r="A150" s="1">
        <v>45897</v>
      </c>
      <c r="B150" t="s">
        <v>7</v>
      </c>
      <c r="C150" t="s">
        <v>8</v>
      </c>
      <c r="D150">
        <v>6200</v>
      </c>
      <c r="E150">
        <v>310</v>
      </c>
      <c r="F150">
        <v>1100</v>
      </c>
      <c r="G150">
        <v>5800</v>
      </c>
      <c r="H150">
        <f>Table1[[#This Row],[Gross_Revenue]]-Table1[[#This Row],[Refunds]]</f>
        <v>5890</v>
      </c>
      <c r="I150">
        <f>Table1[[#This Row],[Net_Revenue]]/Table1[[#This Row],[Marketing_Spend]]</f>
        <v>5.3545454545454545</v>
      </c>
      <c r="J150">
        <f>Table1[[#This Row],[Marketing_Spend]]/Table1[[#This Row],[Web_Traffic]]</f>
        <v>0.18965517241379309</v>
      </c>
      <c r="K150" t="str">
        <f>TEXT(Table1[[#This Row],[Date]],"mmm")</f>
        <v>Aug</v>
      </c>
    </row>
    <row r="151" spans="1:11" x14ac:dyDescent="0.35">
      <c r="A151" s="1">
        <v>45899</v>
      </c>
      <c r="B151" t="s">
        <v>9</v>
      </c>
      <c r="C151" t="s">
        <v>10</v>
      </c>
      <c r="D151">
        <v>6200</v>
      </c>
      <c r="E151">
        <v>310</v>
      </c>
      <c r="F151">
        <v>1500</v>
      </c>
      <c r="G151">
        <v>7500</v>
      </c>
      <c r="H151">
        <f>Table1[[#This Row],[Gross_Revenue]]-Table1[[#This Row],[Refunds]]</f>
        <v>5890</v>
      </c>
      <c r="I151">
        <f>Table1[[#This Row],[Net_Revenue]]/Table1[[#This Row],[Marketing_Spend]]</f>
        <v>3.9266666666666667</v>
      </c>
      <c r="J151">
        <f>Table1[[#This Row],[Marketing_Spend]]/Table1[[#This Row],[Web_Traffic]]</f>
        <v>0.2</v>
      </c>
      <c r="K151" t="str">
        <f>TEXT(Table1[[#This Row],[Date]],"mmm")</f>
        <v>Aug</v>
      </c>
    </row>
    <row r="152" spans="1:11" x14ac:dyDescent="0.35">
      <c r="A152" s="1">
        <v>45742</v>
      </c>
      <c r="B152" t="s">
        <v>7</v>
      </c>
      <c r="C152" t="s">
        <v>8</v>
      </c>
      <c r="D152">
        <v>6150</v>
      </c>
      <c r="E152">
        <v>307</v>
      </c>
      <c r="F152">
        <v>1030</v>
      </c>
      <c r="G152">
        <v>5250</v>
      </c>
      <c r="H152">
        <f>Table1[[#This Row],[Gross_Revenue]]-Table1[[#This Row],[Refunds]]</f>
        <v>5843</v>
      </c>
      <c r="I152">
        <f>Table1[[#This Row],[Net_Revenue]]/Table1[[#This Row],[Marketing_Spend]]</f>
        <v>5.6728155339805824</v>
      </c>
      <c r="J152">
        <f>Table1[[#This Row],[Marketing_Spend]]/Table1[[#This Row],[Web_Traffic]]</f>
        <v>0.19619047619047619</v>
      </c>
      <c r="K152" t="str">
        <f>TEXT(Table1[[#This Row],[Date]],"mmm")</f>
        <v>Mar</v>
      </c>
    </row>
    <row r="153" spans="1:11" x14ac:dyDescent="0.35">
      <c r="A153" s="1">
        <v>45807</v>
      </c>
      <c r="B153" t="s">
        <v>7</v>
      </c>
      <c r="C153" t="s">
        <v>8</v>
      </c>
      <c r="D153">
        <v>6150</v>
      </c>
      <c r="E153">
        <v>307</v>
      </c>
      <c r="F153">
        <v>1090</v>
      </c>
      <c r="G153">
        <v>6150</v>
      </c>
      <c r="H153">
        <f>Table1[[#This Row],[Gross_Revenue]]-Table1[[#This Row],[Refunds]]</f>
        <v>5843</v>
      </c>
      <c r="I153">
        <f>Table1[[#This Row],[Net_Revenue]]/Table1[[#This Row],[Marketing_Spend]]</f>
        <v>5.3605504587155961</v>
      </c>
      <c r="J153">
        <f>Table1[[#This Row],[Marketing_Spend]]/Table1[[#This Row],[Web_Traffic]]</f>
        <v>0.17723577235772359</v>
      </c>
      <c r="K153" t="str">
        <f>TEXT(Table1[[#This Row],[Date]],"mmm")</f>
        <v>May</v>
      </c>
    </row>
    <row r="154" spans="1:11" x14ac:dyDescent="0.35">
      <c r="A154" s="1">
        <v>45812</v>
      </c>
      <c r="B154" t="s">
        <v>7</v>
      </c>
      <c r="C154" t="s">
        <v>8</v>
      </c>
      <c r="D154">
        <v>6150</v>
      </c>
      <c r="E154">
        <v>307</v>
      </c>
      <c r="F154">
        <v>1030</v>
      </c>
      <c r="G154">
        <v>6150</v>
      </c>
      <c r="H154">
        <f>Table1[[#This Row],[Gross_Revenue]]-Table1[[#This Row],[Refunds]]</f>
        <v>5843</v>
      </c>
      <c r="I154">
        <f>Table1[[#This Row],[Net_Revenue]]/Table1[[#This Row],[Marketing_Spend]]</f>
        <v>5.6728155339805824</v>
      </c>
      <c r="J154">
        <f>Table1[[#This Row],[Marketing_Spend]]/Table1[[#This Row],[Web_Traffic]]</f>
        <v>0.16747967479674797</v>
      </c>
      <c r="K154" t="str">
        <f>TEXT(Table1[[#This Row],[Date]],"mmm")</f>
        <v>Jun</v>
      </c>
    </row>
    <row r="155" spans="1:11" x14ac:dyDescent="0.35">
      <c r="A155" s="1">
        <v>45820</v>
      </c>
      <c r="B155" t="s">
        <v>9</v>
      </c>
      <c r="C155" t="s">
        <v>10</v>
      </c>
      <c r="D155">
        <v>6150</v>
      </c>
      <c r="E155">
        <v>307</v>
      </c>
      <c r="F155">
        <v>1410</v>
      </c>
      <c r="G155">
        <v>7550</v>
      </c>
      <c r="H155">
        <f>Table1[[#This Row],[Gross_Revenue]]-Table1[[#This Row],[Refunds]]</f>
        <v>5843</v>
      </c>
      <c r="I155">
        <f>Table1[[#This Row],[Net_Revenue]]/Table1[[#This Row],[Marketing_Spend]]</f>
        <v>4.143971631205674</v>
      </c>
      <c r="J155">
        <f>Table1[[#This Row],[Marketing_Spend]]/Table1[[#This Row],[Web_Traffic]]</f>
        <v>0.18675496688741722</v>
      </c>
      <c r="K155" t="str">
        <f>TEXT(Table1[[#This Row],[Date]],"mmm")</f>
        <v>Jun</v>
      </c>
    </row>
    <row r="156" spans="1:11" x14ac:dyDescent="0.35">
      <c r="A156" s="1">
        <v>45831</v>
      </c>
      <c r="B156" t="s">
        <v>9</v>
      </c>
      <c r="C156" t="s">
        <v>10</v>
      </c>
      <c r="D156">
        <v>6150</v>
      </c>
      <c r="E156">
        <v>307</v>
      </c>
      <c r="F156">
        <v>1410</v>
      </c>
      <c r="G156">
        <v>7550</v>
      </c>
      <c r="H156">
        <f>Table1[[#This Row],[Gross_Revenue]]-Table1[[#This Row],[Refunds]]</f>
        <v>5843</v>
      </c>
      <c r="I156">
        <f>Table1[[#This Row],[Net_Revenue]]/Table1[[#This Row],[Marketing_Spend]]</f>
        <v>4.143971631205674</v>
      </c>
      <c r="J156">
        <f>Table1[[#This Row],[Marketing_Spend]]/Table1[[#This Row],[Web_Traffic]]</f>
        <v>0.18675496688741722</v>
      </c>
      <c r="K156" t="str">
        <f>TEXT(Table1[[#This Row],[Date]],"mmm")</f>
        <v>Jun</v>
      </c>
    </row>
    <row r="157" spans="1:11" x14ac:dyDescent="0.35">
      <c r="A157" s="1">
        <v>45852</v>
      </c>
      <c r="B157" t="s">
        <v>7</v>
      </c>
      <c r="C157" t="s">
        <v>8</v>
      </c>
      <c r="D157">
        <v>6150</v>
      </c>
      <c r="E157">
        <v>307</v>
      </c>
      <c r="F157">
        <v>1030</v>
      </c>
      <c r="G157">
        <v>5850</v>
      </c>
      <c r="H157">
        <f>Table1[[#This Row],[Gross_Revenue]]-Table1[[#This Row],[Refunds]]</f>
        <v>5843</v>
      </c>
      <c r="I157">
        <f>Table1[[#This Row],[Net_Revenue]]/Table1[[#This Row],[Marketing_Spend]]</f>
        <v>5.6728155339805824</v>
      </c>
      <c r="J157">
        <f>Table1[[#This Row],[Marketing_Spend]]/Table1[[#This Row],[Web_Traffic]]</f>
        <v>0.17606837606837608</v>
      </c>
      <c r="K157" t="str">
        <f>TEXT(Table1[[#This Row],[Date]],"mmm")</f>
        <v>Jul</v>
      </c>
    </row>
    <row r="158" spans="1:11" x14ac:dyDescent="0.35">
      <c r="A158" s="1">
        <v>45860</v>
      </c>
      <c r="B158" t="s">
        <v>9</v>
      </c>
      <c r="C158" t="s">
        <v>10</v>
      </c>
      <c r="D158">
        <v>6150</v>
      </c>
      <c r="E158">
        <v>307</v>
      </c>
      <c r="F158">
        <v>1410</v>
      </c>
      <c r="G158">
        <v>7550</v>
      </c>
      <c r="H158">
        <f>Table1[[#This Row],[Gross_Revenue]]-Table1[[#This Row],[Refunds]]</f>
        <v>5843</v>
      </c>
      <c r="I158">
        <f>Table1[[#This Row],[Net_Revenue]]/Table1[[#This Row],[Marketing_Spend]]</f>
        <v>4.143971631205674</v>
      </c>
      <c r="J158">
        <f>Table1[[#This Row],[Marketing_Spend]]/Table1[[#This Row],[Web_Traffic]]</f>
        <v>0.18675496688741722</v>
      </c>
      <c r="K158" t="str">
        <f>TEXT(Table1[[#This Row],[Date]],"mmm")</f>
        <v>Jul</v>
      </c>
    </row>
    <row r="159" spans="1:11" x14ac:dyDescent="0.35">
      <c r="A159" s="1">
        <v>45741</v>
      </c>
      <c r="B159" t="s">
        <v>7</v>
      </c>
      <c r="C159" t="s">
        <v>8</v>
      </c>
      <c r="D159">
        <v>6100</v>
      </c>
      <c r="E159">
        <v>305</v>
      </c>
      <c r="F159">
        <v>1020</v>
      </c>
      <c r="G159">
        <v>5200</v>
      </c>
      <c r="H159">
        <f>Table1[[#This Row],[Gross_Revenue]]-Table1[[#This Row],[Refunds]]</f>
        <v>5795</v>
      </c>
      <c r="I159">
        <f>Table1[[#This Row],[Net_Revenue]]/Table1[[#This Row],[Marketing_Spend]]</f>
        <v>5.6813725490196081</v>
      </c>
      <c r="J159">
        <f>Table1[[#This Row],[Marketing_Spend]]/Table1[[#This Row],[Web_Traffic]]</f>
        <v>0.19615384615384615</v>
      </c>
      <c r="K159" t="str">
        <f>TEXT(Table1[[#This Row],[Date]],"mmm")</f>
        <v>Mar</v>
      </c>
    </row>
    <row r="160" spans="1:11" x14ac:dyDescent="0.35">
      <c r="A160" s="1">
        <v>45748</v>
      </c>
      <c r="B160" t="s">
        <v>9</v>
      </c>
      <c r="C160" t="s">
        <v>10</v>
      </c>
      <c r="D160">
        <v>6100</v>
      </c>
      <c r="E160">
        <v>305</v>
      </c>
      <c r="F160">
        <v>1400</v>
      </c>
      <c r="G160">
        <v>6700</v>
      </c>
      <c r="H160">
        <f>Table1[[#This Row],[Gross_Revenue]]-Table1[[#This Row],[Refunds]]</f>
        <v>5795</v>
      </c>
      <c r="I160">
        <f>Table1[[#This Row],[Net_Revenue]]/Table1[[#This Row],[Marketing_Spend]]</f>
        <v>4.1392857142857142</v>
      </c>
      <c r="J160">
        <f>Table1[[#This Row],[Marketing_Spend]]/Table1[[#This Row],[Web_Traffic]]</f>
        <v>0.20895522388059701</v>
      </c>
      <c r="K160" t="str">
        <f>TEXT(Table1[[#This Row],[Date]],"mmm")</f>
        <v>Apr</v>
      </c>
    </row>
    <row r="161" spans="1:11" x14ac:dyDescent="0.35">
      <c r="A161" s="1">
        <v>45763</v>
      </c>
      <c r="B161" t="s">
        <v>9</v>
      </c>
      <c r="C161" t="s">
        <v>10</v>
      </c>
      <c r="D161">
        <v>6100</v>
      </c>
      <c r="E161">
        <v>305</v>
      </c>
      <c r="F161">
        <v>2000</v>
      </c>
      <c r="G161">
        <v>9000</v>
      </c>
      <c r="H161">
        <f>Table1[[#This Row],[Gross_Revenue]]-Table1[[#This Row],[Refunds]]</f>
        <v>5795</v>
      </c>
      <c r="I161">
        <f>Table1[[#This Row],[Net_Revenue]]/Table1[[#This Row],[Marketing_Spend]]</f>
        <v>2.8975</v>
      </c>
      <c r="J161">
        <f>Table1[[#This Row],[Marketing_Spend]]/Table1[[#This Row],[Web_Traffic]]</f>
        <v>0.22222222222222221</v>
      </c>
      <c r="K161" t="str">
        <f>TEXT(Table1[[#This Row],[Date]],"mmm")</f>
        <v>Apr</v>
      </c>
    </row>
    <row r="162" spans="1:11" x14ac:dyDescent="0.35">
      <c r="A162" s="1">
        <v>45806</v>
      </c>
      <c r="B162" t="s">
        <v>7</v>
      </c>
      <c r="C162" t="s">
        <v>8</v>
      </c>
      <c r="D162">
        <v>6100</v>
      </c>
      <c r="E162">
        <v>305</v>
      </c>
      <c r="F162">
        <v>1080</v>
      </c>
      <c r="G162">
        <v>6100</v>
      </c>
      <c r="H162">
        <f>Table1[[#This Row],[Gross_Revenue]]-Table1[[#This Row],[Refunds]]</f>
        <v>5795</v>
      </c>
      <c r="I162">
        <f>Table1[[#This Row],[Net_Revenue]]/Table1[[#This Row],[Marketing_Spend]]</f>
        <v>5.3657407407407405</v>
      </c>
      <c r="J162">
        <f>Table1[[#This Row],[Marketing_Spend]]/Table1[[#This Row],[Web_Traffic]]</f>
        <v>0.17704918032786884</v>
      </c>
      <c r="K162" t="str">
        <f>TEXT(Table1[[#This Row],[Date]],"mmm")</f>
        <v>May</v>
      </c>
    </row>
    <row r="163" spans="1:11" x14ac:dyDescent="0.35">
      <c r="A163" s="1">
        <v>45811</v>
      </c>
      <c r="B163" t="s">
        <v>7</v>
      </c>
      <c r="C163" t="s">
        <v>8</v>
      </c>
      <c r="D163">
        <v>6100</v>
      </c>
      <c r="E163">
        <v>305</v>
      </c>
      <c r="F163">
        <v>1020</v>
      </c>
      <c r="G163">
        <v>6100</v>
      </c>
      <c r="H163">
        <f>Table1[[#This Row],[Gross_Revenue]]-Table1[[#This Row],[Refunds]]</f>
        <v>5795</v>
      </c>
      <c r="I163">
        <f>Table1[[#This Row],[Net_Revenue]]/Table1[[#This Row],[Marketing_Spend]]</f>
        <v>5.6813725490196081</v>
      </c>
      <c r="J163">
        <f>Table1[[#This Row],[Marketing_Spend]]/Table1[[#This Row],[Web_Traffic]]</f>
        <v>0.16721311475409836</v>
      </c>
      <c r="K163" t="str">
        <f>TEXT(Table1[[#This Row],[Date]],"mmm")</f>
        <v>Jun</v>
      </c>
    </row>
    <row r="164" spans="1:11" x14ac:dyDescent="0.35">
      <c r="A164" s="1">
        <v>45819</v>
      </c>
      <c r="B164" t="s">
        <v>9</v>
      </c>
      <c r="C164" t="s">
        <v>10</v>
      </c>
      <c r="D164">
        <v>6100</v>
      </c>
      <c r="E164">
        <v>305</v>
      </c>
      <c r="F164">
        <v>1400</v>
      </c>
      <c r="G164">
        <v>7500</v>
      </c>
      <c r="H164">
        <f>Table1[[#This Row],[Gross_Revenue]]-Table1[[#This Row],[Refunds]]</f>
        <v>5795</v>
      </c>
      <c r="I164">
        <f>Table1[[#This Row],[Net_Revenue]]/Table1[[#This Row],[Marketing_Spend]]</f>
        <v>4.1392857142857142</v>
      </c>
      <c r="J164">
        <f>Table1[[#This Row],[Marketing_Spend]]/Table1[[#This Row],[Web_Traffic]]</f>
        <v>0.18666666666666668</v>
      </c>
      <c r="K164" t="str">
        <f>TEXT(Table1[[#This Row],[Date]],"mmm")</f>
        <v>Jun</v>
      </c>
    </row>
    <row r="165" spans="1:11" x14ac:dyDescent="0.35">
      <c r="A165" s="1">
        <v>45830</v>
      </c>
      <c r="B165" t="s">
        <v>9</v>
      </c>
      <c r="C165" t="s">
        <v>10</v>
      </c>
      <c r="D165">
        <v>6100</v>
      </c>
      <c r="E165">
        <v>305</v>
      </c>
      <c r="F165">
        <v>1400</v>
      </c>
      <c r="G165">
        <v>7500</v>
      </c>
      <c r="H165">
        <f>Table1[[#This Row],[Gross_Revenue]]-Table1[[#This Row],[Refunds]]</f>
        <v>5795</v>
      </c>
      <c r="I165">
        <f>Table1[[#This Row],[Net_Revenue]]/Table1[[#This Row],[Marketing_Spend]]</f>
        <v>4.1392857142857142</v>
      </c>
      <c r="J165">
        <f>Table1[[#This Row],[Marketing_Spend]]/Table1[[#This Row],[Web_Traffic]]</f>
        <v>0.18666666666666668</v>
      </c>
      <c r="K165" t="str">
        <f>TEXT(Table1[[#This Row],[Date]],"mmm")</f>
        <v>Jun</v>
      </c>
    </row>
    <row r="166" spans="1:11" x14ac:dyDescent="0.35">
      <c r="A166" s="1">
        <v>45851</v>
      </c>
      <c r="B166" t="s">
        <v>7</v>
      </c>
      <c r="C166" t="s">
        <v>8</v>
      </c>
      <c r="D166">
        <v>6100</v>
      </c>
      <c r="E166">
        <v>305</v>
      </c>
      <c r="F166">
        <v>1020</v>
      </c>
      <c r="G166">
        <v>5800</v>
      </c>
      <c r="H166">
        <f>Table1[[#This Row],[Gross_Revenue]]-Table1[[#This Row],[Refunds]]</f>
        <v>5795</v>
      </c>
      <c r="I166">
        <f>Table1[[#This Row],[Net_Revenue]]/Table1[[#This Row],[Marketing_Spend]]</f>
        <v>5.6813725490196081</v>
      </c>
      <c r="J166">
        <f>Table1[[#This Row],[Marketing_Spend]]/Table1[[#This Row],[Web_Traffic]]</f>
        <v>0.17586206896551723</v>
      </c>
      <c r="K166" t="str">
        <f>TEXT(Table1[[#This Row],[Date]],"mmm")</f>
        <v>Jul</v>
      </c>
    </row>
    <row r="167" spans="1:11" x14ac:dyDescent="0.35">
      <c r="A167" s="1">
        <v>45859</v>
      </c>
      <c r="B167" t="s">
        <v>9</v>
      </c>
      <c r="C167" t="s">
        <v>10</v>
      </c>
      <c r="D167">
        <v>6100</v>
      </c>
      <c r="E167">
        <v>305</v>
      </c>
      <c r="F167">
        <v>1400</v>
      </c>
      <c r="G167">
        <v>7500</v>
      </c>
      <c r="H167">
        <f>Table1[[#This Row],[Gross_Revenue]]-Table1[[#This Row],[Refunds]]</f>
        <v>5795</v>
      </c>
      <c r="I167">
        <f>Table1[[#This Row],[Net_Revenue]]/Table1[[#This Row],[Marketing_Spend]]</f>
        <v>4.1392857142857142</v>
      </c>
      <c r="J167">
        <f>Table1[[#This Row],[Marketing_Spend]]/Table1[[#This Row],[Web_Traffic]]</f>
        <v>0.18666666666666668</v>
      </c>
      <c r="K167" t="str">
        <f>TEXT(Table1[[#This Row],[Date]],"mmm")</f>
        <v>Jul</v>
      </c>
    </row>
    <row r="168" spans="1:11" x14ac:dyDescent="0.35">
      <c r="A168" s="1">
        <v>45898</v>
      </c>
      <c r="B168" t="s">
        <v>9</v>
      </c>
      <c r="C168" t="s">
        <v>10</v>
      </c>
      <c r="D168">
        <v>6100</v>
      </c>
      <c r="E168">
        <v>305</v>
      </c>
      <c r="F168">
        <v>1450</v>
      </c>
      <c r="G168">
        <v>7400</v>
      </c>
      <c r="H168">
        <f>Table1[[#This Row],[Gross_Revenue]]-Table1[[#This Row],[Refunds]]</f>
        <v>5795</v>
      </c>
      <c r="I168">
        <f>Table1[[#This Row],[Net_Revenue]]/Table1[[#This Row],[Marketing_Spend]]</f>
        <v>3.9965517241379311</v>
      </c>
      <c r="J168">
        <f>Table1[[#This Row],[Marketing_Spend]]/Table1[[#This Row],[Web_Traffic]]</f>
        <v>0.19594594594594594</v>
      </c>
      <c r="K168" t="str">
        <f>TEXT(Table1[[#This Row],[Date]],"mmm")</f>
        <v>Aug</v>
      </c>
    </row>
    <row r="169" spans="1:11" x14ac:dyDescent="0.35">
      <c r="A169" s="1">
        <v>45740</v>
      </c>
      <c r="B169" t="s">
        <v>7</v>
      </c>
      <c r="C169" t="s">
        <v>8</v>
      </c>
      <c r="D169">
        <v>6050</v>
      </c>
      <c r="E169">
        <v>302</v>
      </c>
      <c r="F169">
        <v>1010</v>
      </c>
      <c r="G169">
        <v>5150</v>
      </c>
      <c r="H169">
        <f>Table1[[#This Row],[Gross_Revenue]]-Table1[[#This Row],[Refunds]]</f>
        <v>5748</v>
      </c>
      <c r="I169">
        <f>Table1[[#This Row],[Net_Revenue]]/Table1[[#This Row],[Marketing_Spend]]</f>
        <v>5.6910891089108908</v>
      </c>
      <c r="J169">
        <f>Table1[[#This Row],[Marketing_Spend]]/Table1[[#This Row],[Web_Traffic]]</f>
        <v>0.19611650485436893</v>
      </c>
      <c r="K169" t="str">
        <f>TEXT(Table1[[#This Row],[Date]],"mmm")</f>
        <v>Mar</v>
      </c>
    </row>
    <row r="170" spans="1:11" x14ac:dyDescent="0.35">
      <c r="A170" s="1">
        <v>45805</v>
      </c>
      <c r="B170" t="s">
        <v>7</v>
      </c>
      <c r="C170" t="s">
        <v>8</v>
      </c>
      <c r="D170">
        <v>6050</v>
      </c>
      <c r="E170">
        <v>302</v>
      </c>
      <c r="F170">
        <v>1070</v>
      </c>
      <c r="G170">
        <v>6050</v>
      </c>
      <c r="H170">
        <f>Table1[[#This Row],[Gross_Revenue]]-Table1[[#This Row],[Refunds]]</f>
        <v>5748</v>
      </c>
      <c r="I170">
        <f>Table1[[#This Row],[Net_Revenue]]/Table1[[#This Row],[Marketing_Spend]]</f>
        <v>5.3719626168224295</v>
      </c>
      <c r="J170">
        <f>Table1[[#This Row],[Marketing_Spend]]/Table1[[#This Row],[Web_Traffic]]</f>
        <v>0.17685950413223139</v>
      </c>
      <c r="K170" t="str">
        <f>TEXT(Table1[[#This Row],[Date]],"mmm")</f>
        <v>May</v>
      </c>
    </row>
    <row r="171" spans="1:11" x14ac:dyDescent="0.35">
      <c r="A171" s="1">
        <v>45810</v>
      </c>
      <c r="B171" t="s">
        <v>7</v>
      </c>
      <c r="C171" t="s">
        <v>8</v>
      </c>
      <c r="D171">
        <v>6050</v>
      </c>
      <c r="E171">
        <v>302</v>
      </c>
      <c r="F171">
        <v>1010</v>
      </c>
      <c r="G171">
        <v>6050</v>
      </c>
      <c r="H171">
        <f>Table1[[#This Row],[Gross_Revenue]]-Table1[[#This Row],[Refunds]]</f>
        <v>5748</v>
      </c>
      <c r="I171">
        <f>Table1[[#This Row],[Net_Revenue]]/Table1[[#This Row],[Marketing_Spend]]</f>
        <v>5.6910891089108908</v>
      </c>
      <c r="J171">
        <f>Table1[[#This Row],[Marketing_Spend]]/Table1[[#This Row],[Web_Traffic]]</f>
        <v>0.16694214876033059</v>
      </c>
      <c r="K171" t="str">
        <f>TEXT(Table1[[#This Row],[Date]],"mmm")</f>
        <v>Jun</v>
      </c>
    </row>
    <row r="172" spans="1:11" x14ac:dyDescent="0.35">
      <c r="A172" s="1">
        <v>45818</v>
      </c>
      <c r="B172" t="s">
        <v>9</v>
      </c>
      <c r="C172" t="s">
        <v>10</v>
      </c>
      <c r="D172">
        <v>6050</v>
      </c>
      <c r="E172">
        <v>302</v>
      </c>
      <c r="F172">
        <v>1390</v>
      </c>
      <c r="G172">
        <v>7450</v>
      </c>
      <c r="H172">
        <f>Table1[[#This Row],[Gross_Revenue]]-Table1[[#This Row],[Refunds]]</f>
        <v>5748</v>
      </c>
      <c r="I172">
        <f>Table1[[#This Row],[Net_Revenue]]/Table1[[#This Row],[Marketing_Spend]]</f>
        <v>4.1352517985611508</v>
      </c>
      <c r="J172">
        <f>Table1[[#This Row],[Marketing_Spend]]/Table1[[#This Row],[Web_Traffic]]</f>
        <v>0.18657718120805369</v>
      </c>
      <c r="K172" t="str">
        <f>TEXT(Table1[[#This Row],[Date]],"mmm")</f>
        <v>Jun</v>
      </c>
    </row>
    <row r="173" spans="1:11" x14ac:dyDescent="0.35">
      <c r="A173" s="1">
        <v>45850</v>
      </c>
      <c r="B173" t="s">
        <v>7</v>
      </c>
      <c r="C173" t="s">
        <v>8</v>
      </c>
      <c r="D173">
        <v>6050</v>
      </c>
      <c r="E173">
        <v>302</v>
      </c>
      <c r="F173">
        <v>1010</v>
      </c>
      <c r="G173">
        <v>5750</v>
      </c>
      <c r="H173">
        <f>Table1[[#This Row],[Gross_Revenue]]-Table1[[#This Row],[Refunds]]</f>
        <v>5748</v>
      </c>
      <c r="I173">
        <f>Table1[[#This Row],[Net_Revenue]]/Table1[[#This Row],[Marketing_Spend]]</f>
        <v>5.6910891089108908</v>
      </c>
      <c r="J173">
        <f>Table1[[#This Row],[Marketing_Spend]]/Table1[[#This Row],[Web_Traffic]]</f>
        <v>0.17565217391304347</v>
      </c>
      <c r="K173" t="str">
        <f>TEXT(Table1[[#This Row],[Date]],"mmm")</f>
        <v>Jul</v>
      </c>
    </row>
    <row r="174" spans="1:11" x14ac:dyDescent="0.35">
      <c r="A174" s="1">
        <v>45858</v>
      </c>
      <c r="B174" t="s">
        <v>9</v>
      </c>
      <c r="C174" t="s">
        <v>10</v>
      </c>
      <c r="D174">
        <v>6050</v>
      </c>
      <c r="E174">
        <v>302</v>
      </c>
      <c r="F174">
        <v>1390</v>
      </c>
      <c r="G174">
        <v>7450</v>
      </c>
      <c r="H174">
        <f>Table1[[#This Row],[Gross_Revenue]]-Table1[[#This Row],[Refunds]]</f>
        <v>5748</v>
      </c>
      <c r="I174">
        <f>Table1[[#This Row],[Net_Revenue]]/Table1[[#This Row],[Marketing_Spend]]</f>
        <v>4.1352517985611508</v>
      </c>
      <c r="J174">
        <f>Table1[[#This Row],[Marketing_Spend]]/Table1[[#This Row],[Web_Traffic]]</f>
        <v>0.18657718120805369</v>
      </c>
      <c r="K174" t="str">
        <f>TEXT(Table1[[#This Row],[Date]],"mmm")</f>
        <v>Jul</v>
      </c>
    </row>
    <row r="175" spans="1:11" x14ac:dyDescent="0.35">
      <c r="A175" s="1">
        <v>45739</v>
      </c>
      <c r="B175" t="s">
        <v>7</v>
      </c>
      <c r="C175" t="s">
        <v>8</v>
      </c>
      <c r="D175">
        <v>6000</v>
      </c>
      <c r="E175">
        <v>300</v>
      </c>
      <c r="F175">
        <v>1000</v>
      </c>
      <c r="G175">
        <v>5100</v>
      </c>
      <c r="H175">
        <f>Table1[[#This Row],[Gross_Revenue]]-Table1[[#This Row],[Refunds]]</f>
        <v>5700</v>
      </c>
      <c r="I175">
        <f>Table1[[#This Row],[Net_Revenue]]/Table1[[#This Row],[Marketing_Spend]]</f>
        <v>5.7</v>
      </c>
      <c r="J175">
        <f>Table1[[#This Row],[Marketing_Spend]]/Table1[[#This Row],[Web_Traffic]]</f>
        <v>0.19607843137254902</v>
      </c>
      <c r="K175" t="str">
        <f>TEXT(Table1[[#This Row],[Date]],"mmm")</f>
        <v>Mar</v>
      </c>
    </row>
    <row r="176" spans="1:11" x14ac:dyDescent="0.35">
      <c r="A176" s="1">
        <v>45747</v>
      </c>
      <c r="B176" t="s">
        <v>9</v>
      </c>
      <c r="C176" t="s">
        <v>10</v>
      </c>
      <c r="D176">
        <v>6000</v>
      </c>
      <c r="E176">
        <v>300</v>
      </c>
      <c r="F176">
        <v>1330</v>
      </c>
      <c r="G176">
        <v>6600</v>
      </c>
      <c r="H176">
        <f>Table1[[#This Row],[Gross_Revenue]]-Table1[[#This Row],[Refunds]]</f>
        <v>5700</v>
      </c>
      <c r="I176">
        <f>Table1[[#This Row],[Net_Revenue]]/Table1[[#This Row],[Marketing_Spend]]</f>
        <v>4.2857142857142856</v>
      </c>
      <c r="J176">
        <f>Table1[[#This Row],[Marketing_Spend]]/Table1[[#This Row],[Web_Traffic]]</f>
        <v>0.20151515151515151</v>
      </c>
      <c r="K176" t="str">
        <f>TEXT(Table1[[#This Row],[Date]],"mmm")</f>
        <v>Mar</v>
      </c>
    </row>
    <row r="177" spans="1:11" x14ac:dyDescent="0.35">
      <c r="A177" s="1">
        <v>45764</v>
      </c>
      <c r="B177" t="s">
        <v>7</v>
      </c>
      <c r="C177" t="s">
        <v>8</v>
      </c>
      <c r="D177">
        <v>6000</v>
      </c>
      <c r="E177">
        <v>300</v>
      </c>
      <c r="F177">
        <v>1200</v>
      </c>
      <c r="G177">
        <v>6000</v>
      </c>
      <c r="H177">
        <f>Table1[[#This Row],[Gross_Revenue]]-Table1[[#This Row],[Refunds]]</f>
        <v>5700</v>
      </c>
      <c r="I177">
        <f>Table1[[#This Row],[Net_Revenue]]/Table1[[#This Row],[Marketing_Spend]]</f>
        <v>4.75</v>
      </c>
      <c r="J177">
        <f>Table1[[#This Row],[Marketing_Spend]]/Table1[[#This Row],[Web_Traffic]]</f>
        <v>0.2</v>
      </c>
      <c r="K177" t="str">
        <f>TEXT(Table1[[#This Row],[Date]],"mmm")</f>
        <v>Apr</v>
      </c>
    </row>
    <row r="178" spans="1:11" x14ac:dyDescent="0.35">
      <c r="A178" s="1">
        <v>45804</v>
      </c>
      <c r="B178" t="s">
        <v>7</v>
      </c>
      <c r="C178" t="s">
        <v>8</v>
      </c>
      <c r="D178">
        <v>6000</v>
      </c>
      <c r="E178">
        <v>300</v>
      </c>
      <c r="F178">
        <v>1060</v>
      </c>
      <c r="G178">
        <v>6000</v>
      </c>
      <c r="H178">
        <f>Table1[[#This Row],[Gross_Revenue]]-Table1[[#This Row],[Refunds]]</f>
        <v>5700</v>
      </c>
      <c r="I178">
        <f>Table1[[#This Row],[Net_Revenue]]/Table1[[#This Row],[Marketing_Spend]]</f>
        <v>5.3773584905660377</v>
      </c>
      <c r="J178">
        <f>Table1[[#This Row],[Marketing_Spend]]/Table1[[#This Row],[Web_Traffic]]</f>
        <v>0.17666666666666667</v>
      </c>
      <c r="K178" t="str">
        <f>TEXT(Table1[[#This Row],[Date]],"mmm")</f>
        <v>May</v>
      </c>
    </row>
    <row r="179" spans="1:11" x14ac:dyDescent="0.35">
      <c r="A179" s="1">
        <v>45809</v>
      </c>
      <c r="B179" t="s">
        <v>7</v>
      </c>
      <c r="C179" t="s">
        <v>8</v>
      </c>
      <c r="D179">
        <v>6000</v>
      </c>
      <c r="E179">
        <v>300</v>
      </c>
      <c r="F179">
        <v>1000</v>
      </c>
      <c r="G179">
        <v>6000</v>
      </c>
      <c r="H179">
        <f>Table1[[#This Row],[Gross_Revenue]]-Table1[[#This Row],[Refunds]]</f>
        <v>5700</v>
      </c>
      <c r="I179">
        <f>Table1[[#This Row],[Net_Revenue]]/Table1[[#This Row],[Marketing_Spend]]</f>
        <v>5.7</v>
      </c>
      <c r="J179">
        <f>Table1[[#This Row],[Marketing_Spend]]/Table1[[#This Row],[Web_Traffic]]</f>
        <v>0.16666666666666666</v>
      </c>
      <c r="K179" t="str">
        <f>TEXT(Table1[[#This Row],[Date]],"mmm")</f>
        <v>Jun</v>
      </c>
    </row>
    <row r="180" spans="1:11" x14ac:dyDescent="0.35">
      <c r="A180" s="1">
        <v>45817</v>
      </c>
      <c r="B180" t="s">
        <v>9</v>
      </c>
      <c r="C180" t="s">
        <v>10</v>
      </c>
      <c r="D180">
        <v>6000</v>
      </c>
      <c r="E180">
        <v>300</v>
      </c>
      <c r="F180">
        <v>1380</v>
      </c>
      <c r="G180">
        <v>7400</v>
      </c>
      <c r="H180">
        <f>Table1[[#This Row],[Gross_Revenue]]-Table1[[#This Row],[Refunds]]</f>
        <v>5700</v>
      </c>
      <c r="I180">
        <f>Table1[[#This Row],[Net_Revenue]]/Table1[[#This Row],[Marketing_Spend]]</f>
        <v>4.1304347826086953</v>
      </c>
      <c r="J180">
        <f>Table1[[#This Row],[Marketing_Spend]]/Table1[[#This Row],[Web_Traffic]]</f>
        <v>0.1864864864864865</v>
      </c>
      <c r="K180" t="str">
        <f>TEXT(Table1[[#This Row],[Date]],"mmm")</f>
        <v>Jun</v>
      </c>
    </row>
    <row r="181" spans="1:11" x14ac:dyDescent="0.35">
      <c r="A181" s="1">
        <v>45849</v>
      </c>
      <c r="B181" t="s">
        <v>7</v>
      </c>
      <c r="C181" t="s">
        <v>8</v>
      </c>
      <c r="D181">
        <v>6000</v>
      </c>
      <c r="E181">
        <v>300</v>
      </c>
      <c r="F181">
        <v>1000</v>
      </c>
      <c r="G181">
        <v>5700</v>
      </c>
      <c r="H181">
        <f>Table1[[#This Row],[Gross_Revenue]]-Table1[[#This Row],[Refunds]]</f>
        <v>5700</v>
      </c>
      <c r="I181">
        <f>Table1[[#This Row],[Net_Revenue]]/Table1[[#This Row],[Marketing_Spend]]</f>
        <v>5.7</v>
      </c>
      <c r="J181">
        <f>Table1[[#This Row],[Marketing_Spend]]/Table1[[#This Row],[Web_Traffic]]</f>
        <v>0.17543859649122806</v>
      </c>
      <c r="K181" t="str">
        <f>TEXT(Table1[[#This Row],[Date]],"mmm")</f>
        <v>Jul</v>
      </c>
    </row>
    <row r="182" spans="1:11" x14ac:dyDescent="0.35">
      <c r="A182" s="1">
        <v>45857</v>
      </c>
      <c r="B182" t="s">
        <v>9</v>
      </c>
      <c r="C182" t="s">
        <v>10</v>
      </c>
      <c r="D182">
        <v>6000</v>
      </c>
      <c r="E182">
        <v>300</v>
      </c>
      <c r="F182">
        <v>1380</v>
      </c>
      <c r="G182">
        <v>7400</v>
      </c>
      <c r="H182">
        <f>Table1[[#This Row],[Gross_Revenue]]-Table1[[#This Row],[Refunds]]</f>
        <v>5700</v>
      </c>
      <c r="I182">
        <f>Table1[[#This Row],[Net_Revenue]]/Table1[[#This Row],[Marketing_Spend]]</f>
        <v>4.1304347826086953</v>
      </c>
      <c r="J182">
        <f>Table1[[#This Row],[Marketing_Spend]]/Table1[[#This Row],[Web_Traffic]]</f>
        <v>0.1864864864864865</v>
      </c>
      <c r="K182" t="str">
        <f>TEXT(Table1[[#This Row],[Date]],"mmm")</f>
        <v>Jul</v>
      </c>
    </row>
    <row r="183" spans="1:11" x14ac:dyDescent="0.35">
      <c r="A183" s="1">
        <v>45738</v>
      </c>
      <c r="B183" t="s">
        <v>7</v>
      </c>
      <c r="C183" t="s">
        <v>8</v>
      </c>
      <c r="D183">
        <v>5950</v>
      </c>
      <c r="E183">
        <v>297</v>
      </c>
      <c r="F183">
        <v>990</v>
      </c>
      <c r="G183">
        <v>5050</v>
      </c>
      <c r="H183">
        <f>Table1[[#This Row],[Gross_Revenue]]-Table1[[#This Row],[Refunds]]</f>
        <v>5653</v>
      </c>
      <c r="I183">
        <f>Table1[[#This Row],[Net_Revenue]]/Table1[[#This Row],[Marketing_Spend]]</f>
        <v>5.7101010101010097</v>
      </c>
      <c r="J183">
        <f>Table1[[#This Row],[Marketing_Spend]]/Table1[[#This Row],[Web_Traffic]]</f>
        <v>0.19603960396039605</v>
      </c>
      <c r="K183" t="str">
        <f>TEXT(Table1[[#This Row],[Date]],"mmm")</f>
        <v>Mar</v>
      </c>
    </row>
    <row r="184" spans="1:11" x14ac:dyDescent="0.35">
      <c r="A184" s="1">
        <v>45746</v>
      </c>
      <c r="B184" t="s">
        <v>9</v>
      </c>
      <c r="C184" t="s">
        <v>10</v>
      </c>
      <c r="D184">
        <v>5950</v>
      </c>
      <c r="E184">
        <v>297</v>
      </c>
      <c r="F184">
        <v>1320</v>
      </c>
      <c r="G184">
        <v>6550</v>
      </c>
      <c r="H184">
        <f>Table1[[#This Row],[Gross_Revenue]]-Table1[[#This Row],[Refunds]]</f>
        <v>5653</v>
      </c>
      <c r="I184">
        <f>Table1[[#This Row],[Net_Revenue]]/Table1[[#This Row],[Marketing_Spend]]</f>
        <v>4.2825757575757573</v>
      </c>
      <c r="J184">
        <f>Table1[[#This Row],[Marketing_Spend]]/Table1[[#This Row],[Web_Traffic]]</f>
        <v>0.20152671755725191</v>
      </c>
      <c r="K184" t="str">
        <f>TEXT(Table1[[#This Row],[Date]],"mmm")</f>
        <v>Mar</v>
      </c>
    </row>
    <row r="185" spans="1:11" x14ac:dyDescent="0.35">
      <c r="A185" s="1">
        <v>45803</v>
      </c>
      <c r="B185" t="s">
        <v>7</v>
      </c>
      <c r="C185" t="s">
        <v>8</v>
      </c>
      <c r="D185">
        <v>5950</v>
      </c>
      <c r="E185">
        <v>297</v>
      </c>
      <c r="F185">
        <v>1050</v>
      </c>
      <c r="G185">
        <v>5950</v>
      </c>
      <c r="H185">
        <f>Table1[[#This Row],[Gross_Revenue]]-Table1[[#This Row],[Refunds]]</f>
        <v>5653</v>
      </c>
      <c r="I185">
        <f>Table1[[#This Row],[Net_Revenue]]/Table1[[#This Row],[Marketing_Spend]]</f>
        <v>5.383809523809524</v>
      </c>
      <c r="J185">
        <f>Table1[[#This Row],[Marketing_Spend]]/Table1[[#This Row],[Web_Traffic]]</f>
        <v>0.17647058823529413</v>
      </c>
      <c r="K185" t="str">
        <f>TEXT(Table1[[#This Row],[Date]],"mmm")</f>
        <v>May</v>
      </c>
    </row>
    <row r="186" spans="1:11" x14ac:dyDescent="0.35">
      <c r="A186" s="1">
        <v>45816</v>
      </c>
      <c r="B186" t="s">
        <v>9</v>
      </c>
      <c r="C186" t="s">
        <v>10</v>
      </c>
      <c r="D186">
        <v>5950</v>
      </c>
      <c r="E186">
        <v>297</v>
      </c>
      <c r="F186">
        <v>1370</v>
      </c>
      <c r="G186">
        <v>7350</v>
      </c>
      <c r="H186">
        <f>Table1[[#This Row],[Gross_Revenue]]-Table1[[#This Row],[Refunds]]</f>
        <v>5653</v>
      </c>
      <c r="I186">
        <f>Table1[[#This Row],[Net_Revenue]]/Table1[[#This Row],[Marketing_Spend]]</f>
        <v>4.1262773722627735</v>
      </c>
      <c r="J186">
        <f>Table1[[#This Row],[Marketing_Spend]]/Table1[[#This Row],[Web_Traffic]]</f>
        <v>0.18639455782312925</v>
      </c>
      <c r="K186" t="str">
        <f>TEXT(Table1[[#This Row],[Date]],"mmm")</f>
        <v>Jun</v>
      </c>
    </row>
    <row r="187" spans="1:11" x14ac:dyDescent="0.35">
      <c r="A187" s="1">
        <v>45848</v>
      </c>
      <c r="B187" t="s">
        <v>7</v>
      </c>
      <c r="C187" t="s">
        <v>8</v>
      </c>
      <c r="D187">
        <v>5950</v>
      </c>
      <c r="E187">
        <v>297</v>
      </c>
      <c r="F187">
        <v>990</v>
      </c>
      <c r="G187">
        <v>5650</v>
      </c>
      <c r="H187">
        <f>Table1[[#This Row],[Gross_Revenue]]-Table1[[#This Row],[Refunds]]</f>
        <v>5653</v>
      </c>
      <c r="I187">
        <f>Table1[[#This Row],[Net_Revenue]]/Table1[[#This Row],[Marketing_Spend]]</f>
        <v>5.7101010101010097</v>
      </c>
      <c r="J187">
        <f>Table1[[#This Row],[Marketing_Spend]]/Table1[[#This Row],[Web_Traffic]]</f>
        <v>0.17522123893805311</v>
      </c>
      <c r="K187" t="str">
        <f>TEXT(Table1[[#This Row],[Date]],"mmm")</f>
        <v>Jul</v>
      </c>
    </row>
    <row r="188" spans="1:11" x14ac:dyDescent="0.35">
      <c r="A188" s="1">
        <v>45856</v>
      </c>
      <c r="B188" t="s">
        <v>9</v>
      </c>
      <c r="C188" t="s">
        <v>10</v>
      </c>
      <c r="D188">
        <v>5950</v>
      </c>
      <c r="E188">
        <v>297</v>
      </c>
      <c r="F188">
        <v>1370</v>
      </c>
      <c r="G188">
        <v>7350</v>
      </c>
      <c r="H188">
        <f>Table1[[#This Row],[Gross_Revenue]]-Table1[[#This Row],[Refunds]]</f>
        <v>5653</v>
      </c>
      <c r="I188">
        <f>Table1[[#This Row],[Net_Revenue]]/Table1[[#This Row],[Marketing_Spend]]</f>
        <v>4.1262773722627735</v>
      </c>
      <c r="J188">
        <f>Table1[[#This Row],[Marketing_Spend]]/Table1[[#This Row],[Web_Traffic]]</f>
        <v>0.18639455782312925</v>
      </c>
      <c r="K188" t="str">
        <f>TEXT(Table1[[#This Row],[Date]],"mmm")</f>
        <v>Jul</v>
      </c>
    </row>
    <row r="189" spans="1:11" x14ac:dyDescent="0.35">
      <c r="A189" s="1">
        <v>45737</v>
      </c>
      <c r="B189" t="s">
        <v>7</v>
      </c>
      <c r="C189" t="s">
        <v>8</v>
      </c>
      <c r="D189">
        <v>5900</v>
      </c>
      <c r="E189">
        <v>295</v>
      </c>
      <c r="F189">
        <v>980</v>
      </c>
      <c r="G189">
        <v>5000</v>
      </c>
      <c r="H189">
        <f>Table1[[#This Row],[Gross_Revenue]]-Table1[[#This Row],[Refunds]]</f>
        <v>5605</v>
      </c>
      <c r="I189">
        <f>Table1[[#This Row],[Net_Revenue]]/Table1[[#This Row],[Marketing_Spend]]</f>
        <v>5.7193877551020407</v>
      </c>
      <c r="J189">
        <f>Table1[[#This Row],[Marketing_Spend]]/Table1[[#This Row],[Web_Traffic]]</f>
        <v>0.19600000000000001</v>
      </c>
      <c r="K189" t="str">
        <f>TEXT(Table1[[#This Row],[Date]],"mmm")</f>
        <v>Mar</v>
      </c>
    </row>
    <row r="190" spans="1:11" x14ac:dyDescent="0.35">
      <c r="A190" s="1">
        <v>45745</v>
      </c>
      <c r="B190" t="s">
        <v>9</v>
      </c>
      <c r="C190" t="s">
        <v>10</v>
      </c>
      <c r="D190">
        <v>5900</v>
      </c>
      <c r="E190">
        <v>295</v>
      </c>
      <c r="F190">
        <v>1310</v>
      </c>
      <c r="G190">
        <v>6500</v>
      </c>
      <c r="H190">
        <f>Table1[[#This Row],[Gross_Revenue]]-Table1[[#This Row],[Refunds]]</f>
        <v>5605</v>
      </c>
      <c r="I190">
        <f>Table1[[#This Row],[Net_Revenue]]/Table1[[#This Row],[Marketing_Spend]]</f>
        <v>4.278625954198473</v>
      </c>
      <c r="J190">
        <f>Table1[[#This Row],[Marketing_Spend]]/Table1[[#This Row],[Web_Traffic]]</f>
        <v>0.20153846153846153</v>
      </c>
      <c r="K190" t="str">
        <f>TEXT(Table1[[#This Row],[Date]],"mmm")</f>
        <v>Mar</v>
      </c>
    </row>
    <row r="191" spans="1:11" x14ac:dyDescent="0.35">
      <c r="A191" s="1">
        <v>45802</v>
      </c>
      <c r="B191" t="s">
        <v>7</v>
      </c>
      <c r="C191" t="s">
        <v>8</v>
      </c>
      <c r="D191">
        <v>5900</v>
      </c>
      <c r="E191">
        <v>295</v>
      </c>
      <c r="F191">
        <v>1040</v>
      </c>
      <c r="G191">
        <v>5900</v>
      </c>
      <c r="H191">
        <f>Table1[[#This Row],[Gross_Revenue]]-Table1[[#This Row],[Refunds]]</f>
        <v>5605</v>
      </c>
      <c r="I191">
        <f>Table1[[#This Row],[Net_Revenue]]/Table1[[#This Row],[Marketing_Spend]]</f>
        <v>5.3894230769230766</v>
      </c>
      <c r="J191">
        <f>Table1[[#This Row],[Marketing_Spend]]/Table1[[#This Row],[Web_Traffic]]</f>
        <v>0.17627118644067796</v>
      </c>
      <c r="K191" t="str">
        <f>TEXT(Table1[[#This Row],[Date]],"mmm")</f>
        <v>May</v>
      </c>
    </row>
    <row r="192" spans="1:11" x14ac:dyDescent="0.35">
      <c r="A192" s="1">
        <v>45815</v>
      </c>
      <c r="B192" t="s">
        <v>9</v>
      </c>
      <c r="C192" t="s">
        <v>10</v>
      </c>
      <c r="D192">
        <v>5900</v>
      </c>
      <c r="E192">
        <v>295</v>
      </c>
      <c r="F192">
        <v>1360</v>
      </c>
      <c r="G192">
        <v>7300</v>
      </c>
      <c r="H192">
        <f>Table1[[#This Row],[Gross_Revenue]]-Table1[[#This Row],[Refunds]]</f>
        <v>5605</v>
      </c>
      <c r="I192">
        <f>Table1[[#This Row],[Net_Revenue]]/Table1[[#This Row],[Marketing_Spend]]</f>
        <v>4.1213235294117645</v>
      </c>
      <c r="J192">
        <f>Table1[[#This Row],[Marketing_Spend]]/Table1[[#This Row],[Web_Traffic]]</f>
        <v>0.18630136986301371</v>
      </c>
      <c r="K192" t="str">
        <f>TEXT(Table1[[#This Row],[Date]],"mmm")</f>
        <v>Jun</v>
      </c>
    </row>
    <row r="193" spans="1:11" x14ac:dyDescent="0.35">
      <c r="A193" s="1">
        <v>45847</v>
      </c>
      <c r="B193" t="s">
        <v>7</v>
      </c>
      <c r="C193" t="s">
        <v>8</v>
      </c>
      <c r="D193">
        <v>5900</v>
      </c>
      <c r="E193">
        <v>295</v>
      </c>
      <c r="F193">
        <v>980</v>
      </c>
      <c r="G193">
        <v>5600</v>
      </c>
      <c r="H193">
        <f>Table1[[#This Row],[Gross_Revenue]]-Table1[[#This Row],[Refunds]]</f>
        <v>5605</v>
      </c>
      <c r="I193">
        <f>Table1[[#This Row],[Net_Revenue]]/Table1[[#This Row],[Marketing_Spend]]</f>
        <v>5.7193877551020407</v>
      </c>
      <c r="J193">
        <f>Table1[[#This Row],[Marketing_Spend]]/Table1[[#This Row],[Web_Traffic]]</f>
        <v>0.17499999999999999</v>
      </c>
      <c r="K193" t="str">
        <f>TEXT(Table1[[#This Row],[Date]],"mmm")</f>
        <v>Jul</v>
      </c>
    </row>
    <row r="194" spans="1:11" x14ac:dyDescent="0.35">
      <c r="A194" s="1">
        <v>45855</v>
      </c>
      <c r="B194" t="s">
        <v>9</v>
      </c>
      <c r="C194" t="s">
        <v>10</v>
      </c>
      <c r="D194">
        <v>5900</v>
      </c>
      <c r="E194">
        <v>295</v>
      </c>
      <c r="F194">
        <v>1360</v>
      </c>
      <c r="G194">
        <v>7300</v>
      </c>
      <c r="H194">
        <f>Table1[[#This Row],[Gross_Revenue]]-Table1[[#This Row],[Refunds]]</f>
        <v>5605</v>
      </c>
      <c r="I194">
        <f>Table1[[#This Row],[Net_Revenue]]/Table1[[#This Row],[Marketing_Spend]]</f>
        <v>4.1213235294117645</v>
      </c>
      <c r="J194">
        <f>Table1[[#This Row],[Marketing_Spend]]/Table1[[#This Row],[Web_Traffic]]</f>
        <v>0.18630136986301371</v>
      </c>
      <c r="K194" t="str">
        <f>TEXT(Table1[[#This Row],[Date]],"mmm")</f>
        <v>Jul</v>
      </c>
    </row>
    <row r="195" spans="1:11" x14ac:dyDescent="0.35">
      <c r="A195" s="1">
        <v>45897</v>
      </c>
      <c r="B195" t="s">
        <v>9</v>
      </c>
      <c r="C195" t="s">
        <v>10</v>
      </c>
      <c r="D195">
        <v>5900</v>
      </c>
      <c r="E195">
        <v>295</v>
      </c>
      <c r="F195">
        <v>1400</v>
      </c>
      <c r="G195">
        <v>7200</v>
      </c>
      <c r="H195">
        <f>Table1[[#This Row],[Gross_Revenue]]-Table1[[#This Row],[Refunds]]</f>
        <v>5605</v>
      </c>
      <c r="I195">
        <f>Table1[[#This Row],[Net_Revenue]]/Table1[[#This Row],[Marketing_Spend]]</f>
        <v>4.003571428571429</v>
      </c>
      <c r="J195">
        <f>Table1[[#This Row],[Marketing_Spend]]/Table1[[#This Row],[Web_Traffic]]</f>
        <v>0.19444444444444445</v>
      </c>
      <c r="K195" t="str">
        <f>TEXT(Table1[[#This Row],[Date]],"mmm")</f>
        <v>Aug</v>
      </c>
    </row>
    <row r="196" spans="1:11" x14ac:dyDescent="0.35">
      <c r="A196" s="1">
        <v>45736</v>
      </c>
      <c r="B196" t="s">
        <v>7</v>
      </c>
      <c r="C196" t="s">
        <v>8</v>
      </c>
      <c r="D196">
        <v>5850</v>
      </c>
      <c r="E196">
        <v>292</v>
      </c>
      <c r="F196">
        <v>970</v>
      </c>
      <c r="G196">
        <v>4950</v>
      </c>
      <c r="H196">
        <f>Table1[[#This Row],[Gross_Revenue]]-Table1[[#This Row],[Refunds]]</f>
        <v>5558</v>
      </c>
      <c r="I196">
        <f>Table1[[#This Row],[Net_Revenue]]/Table1[[#This Row],[Marketing_Spend]]</f>
        <v>5.7298969072164949</v>
      </c>
      <c r="J196">
        <f>Table1[[#This Row],[Marketing_Spend]]/Table1[[#This Row],[Web_Traffic]]</f>
        <v>0.19595959595959597</v>
      </c>
      <c r="K196" t="str">
        <f>TEXT(Table1[[#This Row],[Date]],"mmm")</f>
        <v>Mar</v>
      </c>
    </row>
    <row r="197" spans="1:11" x14ac:dyDescent="0.35">
      <c r="A197" s="1">
        <v>45744</v>
      </c>
      <c r="B197" t="s">
        <v>9</v>
      </c>
      <c r="C197" t="s">
        <v>10</v>
      </c>
      <c r="D197">
        <v>5850</v>
      </c>
      <c r="E197">
        <v>292</v>
      </c>
      <c r="F197">
        <v>1300</v>
      </c>
      <c r="G197">
        <v>6450</v>
      </c>
      <c r="H197">
        <f>Table1[[#This Row],[Gross_Revenue]]-Table1[[#This Row],[Refunds]]</f>
        <v>5558</v>
      </c>
      <c r="I197">
        <f>Table1[[#This Row],[Net_Revenue]]/Table1[[#This Row],[Marketing_Spend]]</f>
        <v>4.2753846153846151</v>
      </c>
      <c r="J197">
        <f>Table1[[#This Row],[Marketing_Spend]]/Table1[[#This Row],[Web_Traffic]]</f>
        <v>0.20155038759689922</v>
      </c>
      <c r="K197" t="str">
        <f>TEXT(Table1[[#This Row],[Date]],"mmm")</f>
        <v>Mar</v>
      </c>
    </row>
    <row r="198" spans="1:11" x14ac:dyDescent="0.35">
      <c r="A198" s="1">
        <v>45801</v>
      </c>
      <c r="B198" t="s">
        <v>7</v>
      </c>
      <c r="C198" t="s">
        <v>8</v>
      </c>
      <c r="D198">
        <v>5850</v>
      </c>
      <c r="E198">
        <v>292</v>
      </c>
      <c r="F198">
        <v>1030</v>
      </c>
      <c r="G198">
        <v>5850</v>
      </c>
      <c r="H198">
        <f>Table1[[#This Row],[Gross_Revenue]]-Table1[[#This Row],[Refunds]]</f>
        <v>5558</v>
      </c>
      <c r="I198">
        <f>Table1[[#This Row],[Net_Revenue]]/Table1[[#This Row],[Marketing_Spend]]</f>
        <v>5.3961165048543691</v>
      </c>
      <c r="J198">
        <f>Table1[[#This Row],[Marketing_Spend]]/Table1[[#This Row],[Web_Traffic]]</f>
        <v>0.17606837606837608</v>
      </c>
      <c r="K198" t="str">
        <f>TEXT(Table1[[#This Row],[Date]],"mmm")</f>
        <v>May</v>
      </c>
    </row>
    <row r="199" spans="1:11" x14ac:dyDescent="0.35">
      <c r="A199" s="1">
        <v>45814</v>
      </c>
      <c r="B199" t="s">
        <v>9</v>
      </c>
      <c r="C199" t="s">
        <v>10</v>
      </c>
      <c r="D199">
        <v>5850</v>
      </c>
      <c r="E199">
        <v>292</v>
      </c>
      <c r="F199">
        <v>1350</v>
      </c>
      <c r="G199">
        <v>7250</v>
      </c>
      <c r="H199">
        <f>Table1[[#This Row],[Gross_Revenue]]-Table1[[#This Row],[Refunds]]</f>
        <v>5558</v>
      </c>
      <c r="I199">
        <f>Table1[[#This Row],[Net_Revenue]]/Table1[[#This Row],[Marketing_Spend]]</f>
        <v>4.1170370370370373</v>
      </c>
      <c r="J199">
        <f>Table1[[#This Row],[Marketing_Spend]]/Table1[[#This Row],[Web_Traffic]]</f>
        <v>0.18620689655172415</v>
      </c>
      <c r="K199" t="str">
        <f>TEXT(Table1[[#This Row],[Date]],"mmm")</f>
        <v>Jun</v>
      </c>
    </row>
    <row r="200" spans="1:11" x14ac:dyDescent="0.35">
      <c r="A200" s="1">
        <v>45846</v>
      </c>
      <c r="B200" t="s">
        <v>7</v>
      </c>
      <c r="C200" t="s">
        <v>8</v>
      </c>
      <c r="D200">
        <v>5850</v>
      </c>
      <c r="E200">
        <v>292</v>
      </c>
      <c r="F200">
        <v>970</v>
      </c>
      <c r="G200">
        <v>5550</v>
      </c>
      <c r="H200">
        <f>Table1[[#This Row],[Gross_Revenue]]-Table1[[#This Row],[Refunds]]</f>
        <v>5558</v>
      </c>
      <c r="I200">
        <f>Table1[[#This Row],[Net_Revenue]]/Table1[[#This Row],[Marketing_Spend]]</f>
        <v>5.7298969072164949</v>
      </c>
      <c r="J200">
        <f>Table1[[#This Row],[Marketing_Spend]]/Table1[[#This Row],[Web_Traffic]]</f>
        <v>0.17477477477477477</v>
      </c>
      <c r="K200" t="str">
        <f>TEXT(Table1[[#This Row],[Date]],"mmm")</f>
        <v>Jul</v>
      </c>
    </row>
    <row r="201" spans="1:11" x14ac:dyDescent="0.35">
      <c r="A201" s="1">
        <v>45854</v>
      </c>
      <c r="B201" t="s">
        <v>9</v>
      </c>
      <c r="C201" t="s">
        <v>10</v>
      </c>
      <c r="D201">
        <v>5850</v>
      </c>
      <c r="E201">
        <v>292</v>
      </c>
      <c r="F201">
        <v>1350</v>
      </c>
      <c r="G201">
        <v>7250</v>
      </c>
      <c r="H201">
        <f>Table1[[#This Row],[Gross_Revenue]]-Table1[[#This Row],[Refunds]]</f>
        <v>5558</v>
      </c>
      <c r="I201">
        <f>Table1[[#This Row],[Net_Revenue]]/Table1[[#This Row],[Marketing_Spend]]</f>
        <v>4.1170370370370373</v>
      </c>
      <c r="J201">
        <f>Table1[[#This Row],[Marketing_Spend]]/Table1[[#This Row],[Web_Traffic]]</f>
        <v>0.18620689655172415</v>
      </c>
      <c r="K201" t="str">
        <f>TEXT(Table1[[#This Row],[Date]],"mmm")</f>
        <v>Jul</v>
      </c>
    </row>
    <row r="202" spans="1:11" x14ac:dyDescent="0.35">
      <c r="A202" s="1">
        <v>45735</v>
      </c>
      <c r="B202" t="s">
        <v>7</v>
      </c>
      <c r="C202" t="s">
        <v>8</v>
      </c>
      <c r="D202">
        <v>5800</v>
      </c>
      <c r="E202">
        <v>290</v>
      </c>
      <c r="F202">
        <v>960</v>
      </c>
      <c r="G202">
        <v>4900</v>
      </c>
      <c r="H202">
        <f>Table1[[#This Row],[Gross_Revenue]]-Table1[[#This Row],[Refunds]]</f>
        <v>5510</v>
      </c>
      <c r="I202">
        <f>Table1[[#This Row],[Net_Revenue]]/Table1[[#This Row],[Marketing_Spend]]</f>
        <v>5.739583333333333</v>
      </c>
      <c r="J202">
        <f>Table1[[#This Row],[Marketing_Spend]]/Table1[[#This Row],[Web_Traffic]]</f>
        <v>0.19591836734693877</v>
      </c>
      <c r="K202" t="str">
        <f>TEXT(Table1[[#This Row],[Date]],"mmm")</f>
        <v>Mar</v>
      </c>
    </row>
    <row r="203" spans="1:11" x14ac:dyDescent="0.35">
      <c r="A203" s="1">
        <v>45743</v>
      </c>
      <c r="B203" t="s">
        <v>9</v>
      </c>
      <c r="C203" t="s">
        <v>10</v>
      </c>
      <c r="D203">
        <v>5800</v>
      </c>
      <c r="E203">
        <v>290</v>
      </c>
      <c r="F203">
        <v>1290</v>
      </c>
      <c r="G203">
        <v>6400</v>
      </c>
      <c r="H203">
        <f>Table1[[#This Row],[Gross_Revenue]]-Table1[[#This Row],[Refunds]]</f>
        <v>5510</v>
      </c>
      <c r="I203">
        <f>Table1[[#This Row],[Net_Revenue]]/Table1[[#This Row],[Marketing_Spend]]</f>
        <v>4.2713178294573639</v>
      </c>
      <c r="J203">
        <f>Table1[[#This Row],[Marketing_Spend]]/Table1[[#This Row],[Web_Traffic]]</f>
        <v>0.20156250000000001</v>
      </c>
      <c r="K203" t="str">
        <f>TEXT(Table1[[#This Row],[Date]],"mmm")</f>
        <v>Mar</v>
      </c>
    </row>
    <row r="204" spans="1:11" x14ac:dyDescent="0.35">
      <c r="A204" s="1">
        <v>45765</v>
      </c>
      <c r="B204" t="s">
        <v>7</v>
      </c>
      <c r="C204" t="s">
        <v>8</v>
      </c>
      <c r="D204">
        <v>5800</v>
      </c>
      <c r="E204">
        <v>290</v>
      </c>
      <c r="F204">
        <v>1100</v>
      </c>
      <c r="G204">
        <v>5800</v>
      </c>
      <c r="H204">
        <f>Table1[[#This Row],[Gross_Revenue]]-Table1[[#This Row],[Refunds]]</f>
        <v>5510</v>
      </c>
      <c r="I204">
        <f>Table1[[#This Row],[Net_Revenue]]/Table1[[#This Row],[Marketing_Spend]]</f>
        <v>5.0090909090909088</v>
      </c>
      <c r="J204">
        <f>Table1[[#This Row],[Marketing_Spend]]/Table1[[#This Row],[Web_Traffic]]</f>
        <v>0.18965517241379309</v>
      </c>
      <c r="K204" t="str">
        <f>TEXT(Table1[[#This Row],[Date]],"mmm")</f>
        <v>Apr</v>
      </c>
    </row>
    <row r="205" spans="1:11" x14ac:dyDescent="0.35">
      <c r="A205" s="1">
        <v>45800</v>
      </c>
      <c r="B205" t="s">
        <v>7</v>
      </c>
      <c r="C205" t="s">
        <v>8</v>
      </c>
      <c r="D205">
        <v>5800</v>
      </c>
      <c r="E205">
        <v>290</v>
      </c>
      <c r="F205">
        <v>1020</v>
      </c>
      <c r="G205">
        <v>5800</v>
      </c>
      <c r="H205">
        <f>Table1[[#This Row],[Gross_Revenue]]-Table1[[#This Row],[Refunds]]</f>
        <v>5510</v>
      </c>
      <c r="I205">
        <f>Table1[[#This Row],[Net_Revenue]]/Table1[[#This Row],[Marketing_Spend]]</f>
        <v>5.4019607843137258</v>
      </c>
      <c r="J205">
        <f>Table1[[#This Row],[Marketing_Spend]]/Table1[[#This Row],[Web_Traffic]]</f>
        <v>0.17586206896551723</v>
      </c>
      <c r="K205" t="str">
        <f>TEXT(Table1[[#This Row],[Date]],"mmm")</f>
        <v>May</v>
      </c>
    </row>
    <row r="206" spans="1:11" x14ac:dyDescent="0.35">
      <c r="A206" s="1">
        <v>45808</v>
      </c>
      <c r="B206" t="s">
        <v>9</v>
      </c>
      <c r="C206" t="s">
        <v>10</v>
      </c>
      <c r="D206">
        <v>5800</v>
      </c>
      <c r="E206">
        <v>290</v>
      </c>
      <c r="F206">
        <v>1400</v>
      </c>
      <c r="G206">
        <v>7200</v>
      </c>
      <c r="H206">
        <f>Table1[[#This Row],[Gross_Revenue]]-Table1[[#This Row],[Refunds]]</f>
        <v>5510</v>
      </c>
      <c r="I206">
        <f>Table1[[#This Row],[Net_Revenue]]/Table1[[#This Row],[Marketing_Spend]]</f>
        <v>3.9357142857142855</v>
      </c>
      <c r="J206">
        <f>Table1[[#This Row],[Marketing_Spend]]/Table1[[#This Row],[Web_Traffic]]</f>
        <v>0.19444444444444445</v>
      </c>
      <c r="K206" t="str">
        <f>TEXT(Table1[[#This Row],[Date]],"mmm")</f>
        <v>May</v>
      </c>
    </row>
    <row r="207" spans="1:11" x14ac:dyDescent="0.35">
      <c r="A207" s="1">
        <v>45813</v>
      </c>
      <c r="B207" t="s">
        <v>9</v>
      </c>
      <c r="C207" t="s">
        <v>10</v>
      </c>
      <c r="D207">
        <v>5800</v>
      </c>
      <c r="E207">
        <v>290</v>
      </c>
      <c r="F207">
        <v>1340</v>
      </c>
      <c r="G207">
        <v>7200</v>
      </c>
      <c r="H207">
        <f>Table1[[#This Row],[Gross_Revenue]]-Table1[[#This Row],[Refunds]]</f>
        <v>5510</v>
      </c>
      <c r="I207">
        <f>Table1[[#This Row],[Net_Revenue]]/Table1[[#This Row],[Marketing_Spend]]</f>
        <v>4.1119402985074629</v>
      </c>
      <c r="J207">
        <f>Table1[[#This Row],[Marketing_Spend]]/Table1[[#This Row],[Web_Traffic]]</f>
        <v>0.18611111111111112</v>
      </c>
      <c r="K207" t="str">
        <f>TEXT(Table1[[#This Row],[Date]],"mmm")</f>
        <v>Jun</v>
      </c>
    </row>
    <row r="208" spans="1:11" x14ac:dyDescent="0.35">
      <c r="A208" s="1">
        <v>45845</v>
      </c>
      <c r="B208" t="s">
        <v>7</v>
      </c>
      <c r="C208" t="s">
        <v>8</v>
      </c>
      <c r="D208">
        <v>5800</v>
      </c>
      <c r="E208">
        <v>290</v>
      </c>
      <c r="F208">
        <v>960</v>
      </c>
      <c r="G208">
        <v>5500</v>
      </c>
      <c r="H208">
        <f>Table1[[#This Row],[Gross_Revenue]]-Table1[[#This Row],[Refunds]]</f>
        <v>5510</v>
      </c>
      <c r="I208">
        <f>Table1[[#This Row],[Net_Revenue]]/Table1[[#This Row],[Marketing_Spend]]</f>
        <v>5.739583333333333</v>
      </c>
      <c r="J208">
        <f>Table1[[#This Row],[Marketing_Spend]]/Table1[[#This Row],[Web_Traffic]]</f>
        <v>0.17454545454545456</v>
      </c>
      <c r="K208" t="str">
        <f>TEXT(Table1[[#This Row],[Date]],"mmm")</f>
        <v>Jul</v>
      </c>
    </row>
    <row r="209" spans="1:11" x14ac:dyDescent="0.35">
      <c r="A209" s="1">
        <v>45853</v>
      </c>
      <c r="B209" t="s">
        <v>9</v>
      </c>
      <c r="C209" t="s">
        <v>10</v>
      </c>
      <c r="D209">
        <v>5800</v>
      </c>
      <c r="E209">
        <v>290</v>
      </c>
      <c r="F209">
        <v>1340</v>
      </c>
      <c r="G209">
        <v>7200</v>
      </c>
      <c r="H209">
        <f>Table1[[#This Row],[Gross_Revenue]]-Table1[[#This Row],[Refunds]]</f>
        <v>5510</v>
      </c>
      <c r="I209">
        <f>Table1[[#This Row],[Net_Revenue]]/Table1[[#This Row],[Marketing_Spend]]</f>
        <v>4.1119402985074629</v>
      </c>
      <c r="J209">
        <f>Table1[[#This Row],[Marketing_Spend]]/Table1[[#This Row],[Web_Traffic]]</f>
        <v>0.18611111111111112</v>
      </c>
      <c r="K209" t="str">
        <f>TEXT(Table1[[#This Row],[Date]],"mmm")</f>
        <v>Jul</v>
      </c>
    </row>
    <row r="210" spans="1:11" x14ac:dyDescent="0.35">
      <c r="A210" s="1">
        <v>45734</v>
      </c>
      <c r="B210" t="s">
        <v>7</v>
      </c>
      <c r="C210" t="s">
        <v>8</v>
      </c>
      <c r="D210">
        <v>5750</v>
      </c>
      <c r="E210">
        <v>287</v>
      </c>
      <c r="F210">
        <v>950</v>
      </c>
      <c r="G210">
        <v>4850</v>
      </c>
      <c r="H210">
        <f>Table1[[#This Row],[Gross_Revenue]]-Table1[[#This Row],[Refunds]]</f>
        <v>5463</v>
      </c>
      <c r="I210">
        <f>Table1[[#This Row],[Net_Revenue]]/Table1[[#This Row],[Marketing_Spend]]</f>
        <v>5.7505263157894735</v>
      </c>
      <c r="J210">
        <f>Table1[[#This Row],[Marketing_Spend]]/Table1[[#This Row],[Web_Traffic]]</f>
        <v>0.19587628865979381</v>
      </c>
      <c r="K210" t="str">
        <f>TEXT(Table1[[#This Row],[Date]],"mmm")</f>
        <v>Mar</v>
      </c>
    </row>
    <row r="211" spans="1:11" x14ac:dyDescent="0.35">
      <c r="A211" s="1">
        <v>45742</v>
      </c>
      <c r="B211" t="s">
        <v>9</v>
      </c>
      <c r="C211" t="s">
        <v>10</v>
      </c>
      <c r="D211">
        <v>5750</v>
      </c>
      <c r="E211">
        <v>287</v>
      </c>
      <c r="F211">
        <v>1280</v>
      </c>
      <c r="G211">
        <v>6350</v>
      </c>
      <c r="H211">
        <f>Table1[[#This Row],[Gross_Revenue]]-Table1[[#This Row],[Refunds]]</f>
        <v>5463</v>
      </c>
      <c r="I211">
        <f>Table1[[#This Row],[Net_Revenue]]/Table1[[#This Row],[Marketing_Spend]]</f>
        <v>4.2679687499999996</v>
      </c>
      <c r="J211">
        <f>Table1[[#This Row],[Marketing_Spend]]/Table1[[#This Row],[Web_Traffic]]</f>
        <v>0.2015748031496063</v>
      </c>
      <c r="K211" t="str">
        <f>TEXT(Table1[[#This Row],[Date]],"mmm")</f>
        <v>Mar</v>
      </c>
    </row>
    <row r="212" spans="1:11" x14ac:dyDescent="0.35">
      <c r="A212" s="1">
        <v>45799</v>
      </c>
      <c r="B212" t="s">
        <v>7</v>
      </c>
      <c r="C212" t="s">
        <v>8</v>
      </c>
      <c r="D212">
        <v>5750</v>
      </c>
      <c r="E212">
        <v>287</v>
      </c>
      <c r="F212">
        <v>1010</v>
      </c>
      <c r="G212">
        <v>5750</v>
      </c>
      <c r="H212">
        <f>Table1[[#This Row],[Gross_Revenue]]-Table1[[#This Row],[Refunds]]</f>
        <v>5463</v>
      </c>
      <c r="I212">
        <f>Table1[[#This Row],[Net_Revenue]]/Table1[[#This Row],[Marketing_Spend]]</f>
        <v>5.4089108910891088</v>
      </c>
      <c r="J212">
        <f>Table1[[#This Row],[Marketing_Spend]]/Table1[[#This Row],[Web_Traffic]]</f>
        <v>0.17565217391304347</v>
      </c>
      <c r="K212" t="str">
        <f>TEXT(Table1[[#This Row],[Date]],"mmm")</f>
        <v>May</v>
      </c>
    </row>
    <row r="213" spans="1:11" x14ac:dyDescent="0.35">
      <c r="A213" s="1">
        <v>45807</v>
      </c>
      <c r="B213" t="s">
        <v>9</v>
      </c>
      <c r="C213" t="s">
        <v>10</v>
      </c>
      <c r="D213">
        <v>5750</v>
      </c>
      <c r="E213">
        <v>287</v>
      </c>
      <c r="F213">
        <v>1390</v>
      </c>
      <c r="G213">
        <v>7150</v>
      </c>
      <c r="H213">
        <f>Table1[[#This Row],[Gross_Revenue]]-Table1[[#This Row],[Refunds]]</f>
        <v>5463</v>
      </c>
      <c r="I213">
        <f>Table1[[#This Row],[Net_Revenue]]/Table1[[#This Row],[Marketing_Spend]]</f>
        <v>3.9302158273381296</v>
      </c>
      <c r="J213">
        <f>Table1[[#This Row],[Marketing_Spend]]/Table1[[#This Row],[Web_Traffic]]</f>
        <v>0.19440559440559441</v>
      </c>
      <c r="K213" t="str">
        <f>TEXT(Table1[[#This Row],[Date]],"mmm")</f>
        <v>May</v>
      </c>
    </row>
    <row r="214" spans="1:11" x14ac:dyDescent="0.35">
      <c r="A214" s="1">
        <v>45812</v>
      </c>
      <c r="B214" t="s">
        <v>9</v>
      </c>
      <c r="C214" t="s">
        <v>10</v>
      </c>
      <c r="D214">
        <v>5750</v>
      </c>
      <c r="E214">
        <v>287</v>
      </c>
      <c r="F214">
        <v>1330</v>
      </c>
      <c r="G214">
        <v>7150</v>
      </c>
      <c r="H214">
        <f>Table1[[#This Row],[Gross_Revenue]]-Table1[[#This Row],[Refunds]]</f>
        <v>5463</v>
      </c>
      <c r="I214">
        <f>Table1[[#This Row],[Net_Revenue]]/Table1[[#This Row],[Marketing_Spend]]</f>
        <v>4.1075187969924816</v>
      </c>
      <c r="J214">
        <f>Table1[[#This Row],[Marketing_Spend]]/Table1[[#This Row],[Web_Traffic]]</f>
        <v>0.18601398601398603</v>
      </c>
      <c r="K214" t="str">
        <f>TEXT(Table1[[#This Row],[Date]],"mmm")</f>
        <v>Jun</v>
      </c>
    </row>
    <row r="215" spans="1:11" x14ac:dyDescent="0.35">
      <c r="A215" s="1">
        <v>45844</v>
      </c>
      <c r="B215" t="s">
        <v>7</v>
      </c>
      <c r="C215" t="s">
        <v>8</v>
      </c>
      <c r="D215">
        <v>5750</v>
      </c>
      <c r="E215">
        <v>287</v>
      </c>
      <c r="F215">
        <v>950</v>
      </c>
      <c r="G215">
        <v>5450</v>
      </c>
      <c r="H215">
        <f>Table1[[#This Row],[Gross_Revenue]]-Table1[[#This Row],[Refunds]]</f>
        <v>5463</v>
      </c>
      <c r="I215">
        <f>Table1[[#This Row],[Net_Revenue]]/Table1[[#This Row],[Marketing_Spend]]</f>
        <v>5.7505263157894735</v>
      </c>
      <c r="J215">
        <f>Table1[[#This Row],[Marketing_Spend]]/Table1[[#This Row],[Web_Traffic]]</f>
        <v>0.1743119266055046</v>
      </c>
      <c r="K215" t="str">
        <f>TEXT(Table1[[#This Row],[Date]],"mmm")</f>
        <v>Jul</v>
      </c>
    </row>
    <row r="216" spans="1:11" x14ac:dyDescent="0.35">
      <c r="A216" s="1">
        <v>45852</v>
      </c>
      <c r="B216" t="s">
        <v>9</v>
      </c>
      <c r="C216" t="s">
        <v>10</v>
      </c>
      <c r="D216">
        <v>5750</v>
      </c>
      <c r="E216">
        <v>287</v>
      </c>
      <c r="F216">
        <v>1330</v>
      </c>
      <c r="G216">
        <v>7150</v>
      </c>
      <c r="H216">
        <f>Table1[[#This Row],[Gross_Revenue]]-Table1[[#This Row],[Refunds]]</f>
        <v>5463</v>
      </c>
      <c r="I216">
        <f>Table1[[#This Row],[Net_Revenue]]/Table1[[#This Row],[Marketing_Spend]]</f>
        <v>4.1075187969924816</v>
      </c>
      <c r="J216">
        <f>Table1[[#This Row],[Marketing_Spend]]/Table1[[#This Row],[Web_Traffic]]</f>
        <v>0.18601398601398603</v>
      </c>
      <c r="K216" t="str">
        <f>TEXT(Table1[[#This Row],[Date]],"mmm")</f>
        <v>Jul</v>
      </c>
    </row>
    <row r="217" spans="1:11" x14ac:dyDescent="0.35">
      <c r="A217" s="1">
        <v>45733</v>
      </c>
      <c r="B217" t="s">
        <v>7</v>
      </c>
      <c r="C217" t="s">
        <v>8</v>
      </c>
      <c r="D217">
        <v>5700</v>
      </c>
      <c r="E217">
        <v>285</v>
      </c>
      <c r="F217">
        <v>940</v>
      </c>
      <c r="G217">
        <v>4800</v>
      </c>
      <c r="H217">
        <f>Table1[[#This Row],[Gross_Revenue]]-Table1[[#This Row],[Refunds]]</f>
        <v>5415</v>
      </c>
      <c r="I217">
        <f>Table1[[#This Row],[Net_Revenue]]/Table1[[#This Row],[Marketing_Spend]]</f>
        <v>5.7606382978723403</v>
      </c>
      <c r="J217">
        <f>Table1[[#This Row],[Marketing_Spend]]/Table1[[#This Row],[Web_Traffic]]</f>
        <v>0.19583333333333333</v>
      </c>
      <c r="K217" t="str">
        <f>TEXT(Table1[[#This Row],[Date]],"mmm")</f>
        <v>Mar</v>
      </c>
    </row>
    <row r="218" spans="1:11" x14ac:dyDescent="0.35">
      <c r="A218" s="1">
        <v>45741</v>
      </c>
      <c r="B218" t="s">
        <v>9</v>
      </c>
      <c r="C218" t="s">
        <v>10</v>
      </c>
      <c r="D218">
        <v>5700</v>
      </c>
      <c r="E218">
        <v>285</v>
      </c>
      <c r="F218">
        <v>1270</v>
      </c>
      <c r="G218">
        <v>6300</v>
      </c>
      <c r="H218">
        <f>Table1[[#This Row],[Gross_Revenue]]-Table1[[#This Row],[Refunds]]</f>
        <v>5415</v>
      </c>
      <c r="I218">
        <f>Table1[[#This Row],[Net_Revenue]]/Table1[[#This Row],[Marketing_Spend]]</f>
        <v>4.2637795275590555</v>
      </c>
      <c r="J218">
        <f>Table1[[#This Row],[Marketing_Spend]]/Table1[[#This Row],[Web_Traffic]]</f>
        <v>0.20158730158730159</v>
      </c>
      <c r="K218" t="str">
        <f>TEXT(Table1[[#This Row],[Date]],"mmm")</f>
        <v>Mar</v>
      </c>
    </row>
    <row r="219" spans="1:11" x14ac:dyDescent="0.35">
      <c r="A219" s="1">
        <v>45766</v>
      </c>
      <c r="B219" t="s">
        <v>7</v>
      </c>
      <c r="C219" t="s">
        <v>8</v>
      </c>
      <c r="D219">
        <v>5700</v>
      </c>
      <c r="E219">
        <v>285</v>
      </c>
      <c r="F219">
        <v>1050</v>
      </c>
      <c r="G219">
        <v>5700</v>
      </c>
      <c r="H219">
        <f>Table1[[#This Row],[Gross_Revenue]]-Table1[[#This Row],[Refunds]]</f>
        <v>5415</v>
      </c>
      <c r="I219">
        <f>Table1[[#This Row],[Net_Revenue]]/Table1[[#This Row],[Marketing_Spend]]</f>
        <v>5.1571428571428575</v>
      </c>
      <c r="J219">
        <f>Table1[[#This Row],[Marketing_Spend]]/Table1[[#This Row],[Web_Traffic]]</f>
        <v>0.18421052631578946</v>
      </c>
      <c r="K219" t="str">
        <f>TEXT(Table1[[#This Row],[Date]],"mmm")</f>
        <v>Apr</v>
      </c>
    </row>
    <row r="220" spans="1:11" x14ac:dyDescent="0.35">
      <c r="A220" s="1">
        <v>45798</v>
      </c>
      <c r="B220" t="s">
        <v>7</v>
      </c>
      <c r="C220" t="s">
        <v>8</v>
      </c>
      <c r="D220">
        <v>5700</v>
      </c>
      <c r="E220">
        <v>285</v>
      </c>
      <c r="F220">
        <v>1000</v>
      </c>
      <c r="G220">
        <v>5700</v>
      </c>
      <c r="H220">
        <f>Table1[[#This Row],[Gross_Revenue]]-Table1[[#This Row],[Refunds]]</f>
        <v>5415</v>
      </c>
      <c r="I220">
        <f>Table1[[#This Row],[Net_Revenue]]/Table1[[#This Row],[Marketing_Spend]]</f>
        <v>5.415</v>
      </c>
      <c r="J220">
        <f>Table1[[#This Row],[Marketing_Spend]]/Table1[[#This Row],[Web_Traffic]]</f>
        <v>0.17543859649122806</v>
      </c>
      <c r="K220" t="str">
        <f>TEXT(Table1[[#This Row],[Date]],"mmm")</f>
        <v>May</v>
      </c>
    </row>
    <row r="221" spans="1:11" x14ac:dyDescent="0.35">
      <c r="A221" s="1">
        <v>45806</v>
      </c>
      <c r="B221" t="s">
        <v>9</v>
      </c>
      <c r="C221" t="s">
        <v>10</v>
      </c>
      <c r="D221">
        <v>5700</v>
      </c>
      <c r="E221">
        <v>285</v>
      </c>
      <c r="F221">
        <v>1380</v>
      </c>
      <c r="G221">
        <v>7100</v>
      </c>
      <c r="H221">
        <f>Table1[[#This Row],[Gross_Revenue]]-Table1[[#This Row],[Refunds]]</f>
        <v>5415</v>
      </c>
      <c r="I221">
        <f>Table1[[#This Row],[Net_Revenue]]/Table1[[#This Row],[Marketing_Spend]]</f>
        <v>3.9239130434782608</v>
      </c>
      <c r="J221">
        <f>Table1[[#This Row],[Marketing_Spend]]/Table1[[#This Row],[Web_Traffic]]</f>
        <v>0.19436619718309858</v>
      </c>
      <c r="K221" t="str">
        <f>TEXT(Table1[[#This Row],[Date]],"mmm")</f>
        <v>May</v>
      </c>
    </row>
    <row r="222" spans="1:11" x14ac:dyDescent="0.35">
      <c r="A222" s="1">
        <v>45811</v>
      </c>
      <c r="B222" t="s">
        <v>9</v>
      </c>
      <c r="C222" t="s">
        <v>10</v>
      </c>
      <c r="D222">
        <v>5700</v>
      </c>
      <c r="E222">
        <v>285</v>
      </c>
      <c r="F222">
        <v>1320</v>
      </c>
      <c r="G222">
        <v>7100</v>
      </c>
      <c r="H222">
        <f>Table1[[#This Row],[Gross_Revenue]]-Table1[[#This Row],[Refunds]]</f>
        <v>5415</v>
      </c>
      <c r="I222">
        <f>Table1[[#This Row],[Net_Revenue]]/Table1[[#This Row],[Marketing_Spend]]</f>
        <v>4.1022727272727275</v>
      </c>
      <c r="J222">
        <f>Table1[[#This Row],[Marketing_Spend]]/Table1[[#This Row],[Web_Traffic]]</f>
        <v>0.18591549295774648</v>
      </c>
      <c r="K222" t="str">
        <f>TEXT(Table1[[#This Row],[Date]],"mmm")</f>
        <v>Jun</v>
      </c>
    </row>
    <row r="223" spans="1:11" x14ac:dyDescent="0.35">
      <c r="A223" s="1">
        <v>45843</v>
      </c>
      <c r="B223" t="s">
        <v>7</v>
      </c>
      <c r="C223" t="s">
        <v>8</v>
      </c>
      <c r="D223">
        <v>5700</v>
      </c>
      <c r="E223">
        <v>285</v>
      </c>
      <c r="F223">
        <v>940</v>
      </c>
      <c r="G223">
        <v>5400</v>
      </c>
      <c r="H223">
        <f>Table1[[#This Row],[Gross_Revenue]]-Table1[[#This Row],[Refunds]]</f>
        <v>5415</v>
      </c>
      <c r="I223">
        <f>Table1[[#This Row],[Net_Revenue]]/Table1[[#This Row],[Marketing_Spend]]</f>
        <v>5.7606382978723403</v>
      </c>
      <c r="J223">
        <f>Table1[[#This Row],[Marketing_Spend]]/Table1[[#This Row],[Web_Traffic]]</f>
        <v>0.17407407407407408</v>
      </c>
      <c r="K223" t="str">
        <f>TEXT(Table1[[#This Row],[Date]],"mmm")</f>
        <v>Jul</v>
      </c>
    </row>
    <row r="224" spans="1:11" x14ac:dyDescent="0.35">
      <c r="A224" s="1">
        <v>45851</v>
      </c>
      <c r="B224" t="s">
        <v>9</v>
      </c>
      <c r="C224" t="s">
        <v>10</v>
      </c>
      <c r="D224">
        <v>5700</v>
      </c>
      <c r="E224">
        <v>285</v>
      </c>
      <c r="F224">
        <v>1320</v>
      </c>
      <c r="G224">
        <v>7100</v>
      </c>
      <c r="H224">
        <f>Table1[[#This Row],[Gross_Revenue]]-Table1[[#This Row],[Refunds]]</f>
        <v>5415</v>
      </c>
      <c r="I224">
        <f>Table1[[#This Row],[Net_Revenue]]/Table1[[#This Row],[Marketing_Spend]]</f>
        <v>4.1022727272727275</v>
      </c>
      <c r="J224">
        <f>Table1[[#This Row],[Marketing_Spend]]/Table1[[#This Row],[Web_Traffic]]</f>
        <v>0.18591549295774648</v>
      </c>
      <c r="K224" t="str">
        <f>TEXT(Table1[[#This Row],[Date]],"mmm")</f>
        <v>Jul</v>
      </c>
    </row>
    <row r="225" spans="1:11" x14ac:dyDescent="0.35">
      <c r="A225" s="1">
        <v>45732</v>
      </c>
      <c r="B225" t="s">
        <v>7</v>
      </c>
      <c r="C225" t="s">
        <v>8</v>
      </c>
      <c r="D225">
        <v>5650</v>
      </c>
      <c r="E225">
        <v>282</v>
      </c>
      <c r="F225">
        <v>930</v>
      </c>
      <c r="G225">
        <v>4750</v>
      </c>
      <c r="H225">
        <f>Table1[[#This Row],[Gross_Revenue]]-Table1[[#This Row],[Refunds]]</f>
        <v>5368</v>
      </c>
      <c r="I225">
        <f>Table1[[#This Row],[Net_Revenue]]/Table1[[#This Row],[Marketing_Spend]]</f>
        <v>5.7720430107526886</v>
      </c>
      <c r="J225">
        <f>Table1[[#This Row],[Marketing_Spend]]/Table1[[#This Row],[Web_Traffic]]</f>
        <v>0.19578947368421051</v>
      </c>
      <c r="K225" t="str">
        <f>TEXT(Table1[[#This Row],[Date]],"mmm")</f>
        <v>Mar</v>
      </c>
    </row>
    <row r="226" spans="1:11" x14ac:dyDescent="0.35">
      <c r="A226" s="1">
        <v>45740</v>
      </c>
      <c r="B226" t="s">
        <v>9</v>
      </c>
      <c r="C226" t="s">
        <v>10</v>
      </c>
      <c r="D226">
        <v>5650</v>
      </c>
      <c r="E226">
        <v>282</v>
      </c>
      <c r="F226">
        <v>1260</v>
      </c>
      <c r="G226">
        <v>6250</v>
      </c>
      <c r="H226">
        <f>Table1[[#This Row],[Gross_Revenue]]-Table1[[#This Row],[Refunds]]</f>
        <v>5368</v>
      </c>
      <c r="I226">
        <f>Table1[[#This Row],[Net_Revenue]]/Table1[[#This Row],[Marketing_Spend]]</f>
        <v>4.2603174603174603</v>
      </c>
      <c r="J226">
        <f>Table1[[#This Row],[Marketing_Spend]]/Table1[[#This Row],[Web_Traffic]]</f>
        <v>0.2016</v>
      </c>
      <c r="K226" t="str">
        <f>TEXT(Table1[[#This Row],[Date]],"mmm")</f>
        <v>Mar</v>
      </c>
    </row>
    <row r="227" spans="1:11" x14ac:dyDescent="0.35">
      <c r="A227" s="1">
        <v>45797</v>
      </c>
      <c r="B227" t="s">
        <v>7</v>
      </c>
      <c r="C227" t="s">
        <v>8</v>
      </c>
      <c r="D227">
        <v>5650</v>
      </c>
      <c r="E227">
        <v>282</v>
      </c>
      <c r="F227">
        <v>990</v>
      </c>
      <c r="G227">
        <v>5650</v>
      </c>
      <c r="H227">
        <f>Table1[[#This Row],[Gross_Revenue]]-Table1[[#This Row],[Refunds]]</f>
        <v>5368</v>
      </c>
      <c r="I227">
        <f>Table1[[#This Row],[Net_Revenue]]/Table1[[#This Row],[Marketing_Spend]]</f>
        <v>5.4222222222222225</v>
      </c>
      <c r="J227">
        <f>Table1[[#This Row],[Marketing_Spend]]/Table1[[#This Row],[Web_Traffic]]</f>
        <v>0.17522123893805311</v>
      </c>
      <c r="K227" t="str">
        <f>TEXT(Table1[[#This Row],[Date]],"mmm")</f>
        <v>May</v>
      </c>
    </row>
    <row r="228" spans="1:11" x14ac:dyDescent="0.35">
      <c r="A228" s="1">
        <v>45805</v>
      </c>
      <c r="B228" t="s">
        <v>9</v>
      </c>
      <c r="C228" t="s">
        <v>10</v>
      </c>
      <c r="D228">
        <v>5650</v>
      </c>
      <c r="E228">
        <v>282</v>
      </c>
      <c r="F228">
        <v>1370</v>
      </c>
      <c r="G228">
        <v>7050</v>
      </c>
      <c r="H228">
        <f>Table1[[#This Row],[Gross_Revenue]]-Table1[[#This Row],[Refunds]]</f>
        <v>5368</v>
      </c>
      <c r="I228">
        <f>Table1[[#This Row],[Net_Revenue]]/Table1[[#This Row],[Marketing_Spend]]</f>
        <v>3.9182481751824816</v>
      </c>
      <c r="J228">
        <f>Table1[[#This Row],[Marketing_Spend]]/Table1[[#This Row],[Web_Traffic]]</f>
        <v>0.19432624113475178</v>
      </c>
      <c r="K228" t="str">
        <f>TEXT(Table1[[#This Row],[Date]],"mmm")</f>
        <v>May</v>
      </c>
    </row>
    <row r="229" spans="1:11" x14ac:dyDescent="0.35">
      <c r="A229" s="1">
        <v>45810</v>
      </c>
      <c r="B229" t="s">
        <v>9</v>
      </c>
      <c r="C229" t="s">
        <v>10</v>
      </c>
      <c r="D229">
        <v>5650</v>
      </c>
      <c r="E229">
        <v>282</v>
      </c>
      <c r="F229">
        <v>1310</v>
      </c>
      <c r="G229">
        <v>7050</v>
      </c>
      <c r="H229">
        <f>Table1[[#This Row],[Gross_Revenue]]-Table1[[#This Row],[Refunds]]</f>
        <v>5368</v>
      </c>
      <c r="I229">
        <f>Table1[[#This Row],[Net_Revenue]]/Table1[[#This Row],[Marketing_Spend]]</f>
        <v>4.0977099236641221</v>
      </c>
      <c r="J229">
        <f>Table1[[#This Row],[Marketing_Spend]]/Table1[[#This Row],[Web_Traffic]]</f>
        <v>0.18581560283687942</v>
      </c>
      <c r="K229" t="str">
        <f>TEXT(Table1[[#This Row],[Date]],"mmm")</f>
        <v>Jun</v>
      </c>
    </row>
    <row r="230" spans="1:11" x14ac:dyDescent="0.35">
      <c r="A230" s="1">
        <v>45842</v>
      </c>
      <c r="B230" t="s">
        <v>7</v>
      </c>
      <c r="C230" t="s">
        <v>8</v>
      </c>
      <c r="D230">
        <v>5650</v>
      </c>
      <c r="E230">
        <v>282</v>
      </c>
      <c r="F230">
        <v>930</v>
      </c>
      <c r="G230">
        <v>5350</v>
      </c>
      <c r="H230">
        <f>Table1[[#This Row],[Gross_Revenue]]-Table1[[#This Row],[Refunds]]</f>
        <v>5368</v>
      </c>
      <c r="I230">
        <f>Table1[[#This Row],[Net_Revenue]]/Table1[[#This Row],[Marketing_Spend]]</f>
        <v>5.7720430107526886</v>
      </c>
      <c r="J230">
        <f>Table1[[#This Row],[Marketing_Spend]]/Table1[[#This Row],[Web_Traffic]]</f>
        <v>0.17383177570093458</v>
      </c>
      <c r="K230" t="str">
        <f>TEXT(Table1[[#This Row],[Date]],"mmm")</f>
        <v>Jul</v>
      </c>
    </row>
    <row r="231" spans="1:11" x14ac:dyDescent="0.35">
      <c r="A231" s="1">
        <v>45850</v>
      </c>
      <c r="B231" t="s">
        <v>9</v>
      </c>
      <c r="C231" t="s">
        <v>10</v>
      </c>
      <c r="D231">
        <v>5650</v>
      </c>
      <c r="E231">
        <v>282</v>
      </c>
      <c r="F231">
        <v>1310</v>
      </c>
      <c r="G231">
        <v>7050</v>
      </c>
      <c r="H231">
        <f>Table1[[#This Row],[Gross_Revenue]]-Table1[[#This Row],[Refunds]]</f>
        <v>5368</v>
      </c>
      <c r="I231">
        <f>Table1[[#This Row],[Net_Revenue]]/Table1[[#This Row],[Marketing_Spend]]</f>
        <v>4.0977099236641221</v>
      </c>
      <c r="J231">
        <f>Table1[[#This Row],[Marketing_Spend]]/Table1[[#This Row],[Web_Traffic]]</f>
        <v>0.18581560283687942</v>
      </c>
      <c r="K231" t="str">
        <f>TEXT(Table1[[#This Row],[Date]],"mmm")</f>
        <v>Jul</v>
      </c>
    </row>
    <row r="232" spans="1:11" x14ac:dyDescent="0.35">
      <c r="A232" s="1">
        <v>45731</v>
      </c>
      <c r="B232" t="s">
        <v>7</v>
      </c>
      <c r="C232" t="s">
        <v>8</v>
      </c>
      <c r="D232">
        <v>5600</v>
      </c>
      <c r="E232">
        <v>280</v>
      </c>
      <c r="F232">
        <v>920</v>
      </c>
      <c r="G232">
        <v>4700</v>
      </c>
      <c r="H232">
        <f>Table1[[#This Row],[Gross_Revenue]]-Table1[[#This Row],[Refunds]]</f>
        <v>5320</v>
      </c>
      <c r="I232">
        <f>Table1[[#This Row],[Net_Revenue]]/Table1[[#This Row],[Marketing_Spend]]</f>
        <v>5.7826086956521738</v>
      </c>
      <c r="J232">
        <f>Table1[[#This Row],[Marketing_Spend]]/Table1[[#This Row],[Web_Traffic]]</f>
        <v>0.19574468085106383</v>
      </c>
      <c r="K232" t="str">
        <f>TEXT(Table1[[#This Row],[Date]],"mmm")</f>
        <v>Mar</v>
      </c>
    </row>
    <row r="233" spans="1:11" x14ac:dyDescent="0.35">
      <c r="A233" s="1">
        <v>45739</v>
      </c>
      <c r="B233" t="s">
        <v>9</v>
      </c>
      <c r="C233" t="s">
        <v>10</v>
      </c>
      <c r="D233">
        <v>5600</v>
      </c>
      <c r="E233">
        <v>280</v>
      </c>
      <c r="F233">
        <v>1250</v>
      </c>
      <c r="G233">
        <v>6200</v>
      </c>
      <c r="H233">
        <f>Table1[[#This Row],[Gross_Revenue]]-Table1[[#This Row],[Refunds]]</f>
        <v>5320</v>
      </c>
      <c r="I233">
        <f>Table1[[#This Row],[Net_Revenue]]/Table1[[#This Row],[Marketing_Spend]]</f>
        <v>4.2560000000000002</v>
      </c>
      <c r="J233">
        <f>Table1[[#This Row],[Marketing_Spend]]/Table1[[#This Row],[Web_Traffic]]</f>
        <v>0.20161290322580644</v>
      </c>
      <c r="K233" t="str">
        <f>TEXT(Table1[[#This Row],[Date]],"mmm")</f>
        <v>Mar</v>
      </c>
    </row>
    <row r="234" spans="1:11" x14ac:dyDescent="0.35">
      <c r="A234" s="1">
        <v>45764</v>
      </c>
      <c r="B234" t="s">
        <v>9</v>
      </c>
      <c r="C234" t="s">
        <v>10</v>
      </c>
      <c r="D234">
        <v>5600</v>
      </c>
      <c r="E234">
        <v>280</v>
      </c>
      <c r="F234">
        <v>1500</v>
      </c>
      <c r="G234">
        <v>7000</v>
      </c>
      <c r="H234">
        <f>Table1[[#This Row],[Gross_Revenue]]-Table1[[#This Row],[Refunds]]</f>
        <v>5320</v>
      </c>
      <c r="I234">
        <f>Table1[[#This Row],[Net_Revenue]]/Table1[[#This Row],[Marketing_Spend]]</f>
        <v>3.5466666666666669</v>
      </c>
      <c r="J234">
        <f>Table1[[#This Row],[Marketing_Spend]]/Table1[[#This Row],[Web_Traffic]]</f>
        <v>0.21428571428571427</v>
      </c>
      <c r="K234" t="str">
        <f>TEXT(Table1[[#This Row],[Date]],"mmm")</f>
        <v>Apr</v>
      </c>
    </row>
    <row r="235" spans="1:11" x14ac:dyDescent="0.35">
      <c r="A235" s="1">
        <v>45767</v>
      </c>
      <c r="B235" t="s">
        <v>7</v>
      </c>
      <c r="C235" t="s">
        <v>8</v>
      </c>
      <c r="D235">
        <v>5600</v>
      </c>
      <c r="E235">
        <v>280</v>
      </c>
      <c r="F235">
        <v>1000</v>
      </c>
      <c r="G235">
        <v>5600</v>
      </c>
      <c r="H235">
        <f>Table1[[#This Row],[Gross_Revenue]]-Table1[[#This Row],[Refunds]]</f>
        <v>5320</v>
      </c>
      <c r="I235">
        <f>Table1[[#This Row],[Net_Revenue]]/Table1[[#This Row],[Marketing_Spend]]</f>
        <v>5.32</v>
      </c>
      <c r="J235">
        <f>Table1[[#This Row],[Marketing_Spend]]/Table1[[#This Row],[Web_Traffic]]</f>
        <v>0.17857142857142858</v>
      </c>
      <c r="K235" t="str">
        <f>TEXT(Table1[[#This Row],[Date]],"mmm")</f>
        <v>Apr</v>
      </c>
    </row>
    <row r="236" spans="1:11" x14ac:dyDescent="0.35">
      <c r="A236" s="1">
        <v>45796</v>
      </c>
      <c r="B236" t="s">
        <v>7</v>
      </c>
      <c r="C236" t="s">
        <v>8</v>
      </c>
      <c r="D236">
        <v>5600</v>
      </c>
      <c r="E236">
        <v>280</v>
      </c>
      <c r="F236">
        <v>980</v>
      </c>
      <c r="G236">
        <v>5600</v>
      </c>
      <c r="H236">
        <f>Table1[[#This Row],[Gross_Revenue]]-Table1[[#This Row],[Refunds]]</f>
        <v>5320</v>
      </c>
      <c r="I236">
        <f>Table1[[#This Row],[Net_Revenue]]/Table1[[#This Row],[Marketing_Spend]]</f>
        <v>5.4285714285714288</v>
      </c>
      <c r="J236">
        <f>Table1[[#This Row],[Marketing_Spend]]/Table1[[#This Row],[Web_Traffic]]</f>
        <v>0.17499999999999999</v>
      </c>
      <c r="K236" t="str">
        <f>TEXT(Table1[[#This Row],[Date]],"mmm")</f>
        <v>May</v>
      </c>
    </row>
    <row r="237" spans="1:11" x14ac:dyDescent="0.35">
      <c r="A237" s="1">
        <v>45804</v>
      </c>
      <c r="B237" t="s">
        <v>9</v>
      </c>
      <c r="C237" t="s">
        <v>10</v>
      </c>
      <c r="D237">
        <v>5600</v>
      </c>
      <c r="E237">
        <v>280</v>
      </c>
      <c r="F237">
        <v>1360</v>
      </c>
      <c r="G237">
        <v>7000</v>
      </c>
      <c r="H237">
        <f>Table1[[#This Row],[Gross_Revenue]]-Table1[[#This Row],[Refunds]]</f>
        <v>5320</v>
      </c>
      <c r="I237">
        <f>Table1[[#This Row],[Net_Revenue]]/Table1[[#This Row],[Marketing_Spend]]</f>
        <v>3.9117647058823528</v>
      </c>
      <c r="J237">
        <f>Table1[[#This Row],[Marketing_Spend]]/Table1[[#This Row],[Web_Traffic]]</f>
        <v>0.19428571428571428</v>
      </c>
      <c r="K237" t="str">
        <f>TEXT(Table1[[#This Row],[Date]],"mmm")</f>
        <v>May</v>
      </c>
    </row>
    <row r="238" spans="1:11" x14ac:dyDescent="0.35">
      <c r="A238" s="1">
        <v>45809</v>
      </c>
      <c r="B238" t="s">
        <v>9</v>
      </c>
      <c r="C238" t="s">
        <v>10</v>
      </c>
      <c r="D238">
        <v>5600</v>
      </c>
      <c r="E238">
        <v>280</v>
      </c>
      <c r="F238">
        <v>1300</v>
      </c>
      <c r="G238">
        <v>7000</v>
      </c>
      <c r="H238">
        <f>Table1[[#This Row],[Gross_Revenue]]-Table1[[#This Row],[Refunds]]</f>
        <v>5320</v>
      </c>
      <c r="I238">
        <f>Table1[[#This Row],[Net_Revenue]]/Table1[[#This Row],[Marketing_Spend]]</f>
        <v>4.092307692307692</v>
      </c>
      <c r="J238">
        <f>Table1[[#This Row],[Marketing_Spend]]/Table1[[#This Row],[Web_Traffic]]</f>
        <v>0.18571428571428572</v>
      </c>
      <c r="K238" t="str">
        <f>TEXT(Table1[[#This Row],[Date]],"mmm")</f>
        <v>Jun</v>
      </c>
    </row>
    <row r="239" spans="1:11" x14ac:dyDescent="0.35">
      <c r="A239" s="1">
        <v>45841</v>
      </c>
      <c r="B239" t="s">
        <v>7</v>
      </c>
      <c r="C239" t="s">
        <v>8</v>
      </c>
      <c r="D239">
        <v>5600</v>
      </c>
      <c r="E239">
        <v>280</v>
      </c>
      <c r="F239">
        <v>920</v>
      </c>
      <c r="G239">
        <v>5300</v>
      </c>
      <c r="H239">
        <f>Table1[[#This Row],[Gross_Revenue]]-Table1[[#This Row],[Refunds]]</f>
        <v>5320</v>
      </c>
      <c r="I239">
        <f>Table1[[#This Row],[Net_Revenue]]/Table1[[#This Row],[Marketing_Spend]]</f>
        <v>5.7826086956521738</v>
      </c>
      <c r="J239">
        <f>Table1[[#This Row],[Marketing_Spend]]/Table1[[#This Row],[Web_Traffic]]</f>
        <v>0.17358490566037735</v>
      </c>
      <c r="K239" t="str">
        <f>TEXT(Table1[[#This Row],[Date]],"mmm")</f>
        <v>Jul</v>
      </c>
    </row>
    <row r="240" spans="1:11" x14ac:dyDescent="0.35">
      <c r="A240" s="1">
        <v>45849</v>
      </c>
      <c r="B240" t="s">
        <v>9</v>
      </c>
      <c r="C240" t="s">
        <v>10</v>
      </c>
      <c r="D240">
        <v>5600</v>
      </c>
      <c r="E240">
        <v>280</v>
      </c>
      <c r="F240">
        <v>1300</v>
      </c>
      <c r="G240">
        <v>7000</v>
      </c>
      <c r="H240">
        <f>Table1[[#This Row],[Gross_Revenue]]-Table1[[#This Row],[Refunds]]</f>
        <v>5320</v>
      </c>
      <c r="I240">
        <f>Table1[[#This Row],[Net_Revenue]]/Table1[[#This Row],[Marketing_Spend]]</f>
        <v>4.092307692307692</v>
      </c>
      <c r="J240">
        <f>Table1[[#This Row],[Marketing_Spend]]/Table1[[#This Row],[Web_Traffic]]</f>
        <v>0.18571428571428572</v>
      </c>
      <c r="K240" t="str">
        <f>TEXT(Table1[[#This Row],[Date]],"mmm")</f>
        <v>Jul</v>
      </c>
    </row>
    <row r="241" spans="1:11" x14ac:dyDescent="0.35">
      <c r="A241" s="1">
        <v>45730</v>
      </c>
      <c r="B241" t="s">
        <v>7</v>
      </c>
      <c r="C241" t="s">
        <v>8</v>
      </c>
      <c r="D241">
        <v>5550</v>
      </c>
      <c r="E241">
        <v>277</v>
      </c>
      <c r="F241">
        <v>910</v>
      </c>
      <c r="G241">
        <v>4650</v>
      </c>
      <c r="H241">
        <f>Table1[[#This Row],[Gross_Revenue]]-Table1[[#This Row],[Refunds]]</f>
        <v>5273</v>
      </c>
      <c r="I241">
        <f>Table1[[#This Row],[Net_Revenue]]/Table1[[#This Row],[Marketing_Spend]]</f>
        <v>5.7945054945054943</v>
      </c>
      <c r="J241">
        <f>Table1[[#This Row],[Marketing_Spend]]/Table1[[#This Row],[Web_Traffic]]</f>
        <v>0.19569892473118281</v>
      </c>
      <c r="K241" t="str">
        <f>TEXT(Table1[[#This Row],[Date]],"mmm")</f>
        <v>Mar</v>
      </c>
    </row>
    <row r="242" spans="1:11" x14ac:dyDescent="0.35">
      <c r="A242" s="1">
        <v>45738</v>
      </c>
      <c r="B242" t="s">
        <v>9</v>
      </c>
      <c r="C242" t="s">
        <v>10</v>
      </c>
      <c r="D242">
        <v>5550</v>
      </c>
      <c r="E242">
        <v>277</v>
      </c>
      <c r="F242">
        <v>1240</v>
      </c>
      <c r="G242">
        <v>6150</v>
      </c>
      <c r="H242">
        <f>Table1[[#This Row],[Gross_Revenue]]-Table1[[#This Row],[Refunds]]</f>
        <v>5273</v>
      </c>
      <c r="I242">
        <f>Table1[[#This Row],[Net_Revenue]]/Table1[[#This Row],[Marketing_Spend]]</f>
        <v>4.2524193548387093</v>
      </c>
      <c r="J242">
        <f>Table1[[#This Row],[Marketing_Spend]]/Table1[[#This Row],[Web_Traffic]]</f>
        <v>0.2016260162601626</v>
      </c>
      <c r="K242" t="str">
        <f>TEXT(Table1[[#This Row],[Date]],"mmm")</f>
        <v>Mar</v>
      </c>
    </row>
    <row r="243" spans="1:11" x14ac:dyDescent="0.35">
      <c r="A243" s="1">
        <v>45795</v>
      </c>
      <c r="B243" t="s">
        <v>7</v>
      </c>
      <c r="C243" t="s">
        <v>8</v>
      </c>
      <c r="D243">
        <v>5550</v>
      </c>
      <c r="E243">
        <v>277</v>
      </c>
      <c r="F243">
        <v>970</v>
      </c>
      <c r="G243">
        <v>5550</v>
      </c>
      <c r="H243">
        <f>Table1[[#This Row],[Gross_Revenue]]-Table1[[#This Row],[Refunds]]</f>
        <v>5273</v>
      </c>
      <c r="I243">
        <f>Table1[[#This Row],[Net_Revenue]]/Table1[[#This Row],[Marketing_Spend]]</f>
        <v>5.4360824742268044</v>
      </c>
      <c r="J243">
        <f>Table1[[#This Row],[Marketing_Spend]]/Table1[[#This Row],[Web_Traffic]]</f>
        <v>0.17477477477477477</v>
      </c>
      <c r="K243" t="str">
        <f>TEXT(Table1[[#This Row],[Date]],"mmm")</f>
        <v>May</v>
      </c>
    </row>
    <row r="244" spans="1:11" x14ac:dyDescent="0.35">
      <c r="A244" s="1">
        <v>45803</v>
      </c>
      <c r="B244" t="s">
        <v>9</v>
      </c>
      <c r="C244" t="s">
        <v>10</v>
      </c>
      <c r="D244">
        <v>5550</v>
      </c>
      <c r="E244">
        <v>277</v>
      </c>
      <c r="F244">
        <v>1350</v>
      </c>
      <c r="G244">
        <v>6950</v>
      </c>
      <c r="H244">
        <f>Table1[[#This Row],[Gross_Revenue]]-Table1[[#This Row],[Refunds]]</f>
        <v>5273</v>
      </c>
      <c r="I244">
        <f>Table1[[#This Row],[Net_Revenue]]/Table1[[#This Row],[Marketing_Spend]]</f>
        <v>3.905925925925926</v>
      </c>
      <c r="J244">
        <f>Table1[[#This Row],[Marketing_Spend]]/Table1[[#This Row],[Web_Traffic]]</f>
        <v>0.19424460431654678</v>
      </c>
      <c r="K244" t="str">
        <f>TEXT(Table1[[#This Row],[Date]],"mmm")</f>
        <v>May</v>
      </c>
    </row>
    <row r="245" spans="1:11" x14ac:dyDescent="0.35">
      <c r="A245" s="1">
        <v>45840</v>
      </c>
      <c r="B245" t="s">
        <v>7</v>
      </c>
      <c r="C245" t="s">
        <v>8</v>
      </c>
      <c r="D245">
        <v>5550</v>
      </c>
      <c r="E245">
        <v>277</v>
      </c>
      <c r="F245">
        <v>910</v>
      </c>
      <c r="G245">
        <v>5250</v>
      </c>
      <c r="H245">
        <f>Table1[[#This Row],[Gross_Revenue]]-Table1[[#This Row],[Refunds]]</f>
        <v>5273</v>
      </c>
      <c r="I245">
        <f>Table1[[#This Row],[Net_Revenue]]/Table1[[#This Row],[Marketing_Spend]]</f>
        <v>5.7945054945054943</v>
      </c>
      <c r="J245">
        <f>Table1[[#This Row],[Marketing_Spend]]/Table1[[#This Row],[Web_Traffic]]</f>
        <v>0.17333333333333334</v>
      </c>
      <c r="K245" t="str">
        <f>TEXT(Table1[[#This Row],[Date]],"mmm")</f>
        <v>Jul</v>
      </c>
    </row>
    <row r="246" spans="1:11" x14ac:dyDescent="0.35">
      <c r="A246" s="1">
        <v>45848</v>
      </c>
      <c r="B246" t="s">
        <v>9</v>
      </c>
      <c r="C246" t="s">
        <v>10</v>
      </c>
      <c r="D246">
        <v>5550</v>
      </c>
      <c r="E246">
        <v>277</v>
      </c>
      <c r="F246">
        <v>1290</v>
      </c>
      <c r="G246">
        <v>6950</v>
      </c>
      <c r="H246">
        <f>Table1[[#This Row],[Gross_Revenue]]-Table1[[#This Row],[Refunds]]</f>
        <v>5273</v>
      </c>
      <c r="I246">
        <f>Table1[[#This Row],[Net_Revenue]]/Table1[[#This Row],[Marketing_Spend]]</f>
        <v>4.0875968992248062</v>
      </c>
      <c r="J246">
        <f>Table1[[#This Row],[Marketing_Spend]]/Table1[[#This Row],[Web_Traffic]]</f>
        <v>0.1856115107913669</v>
      </c>
      <c r="K246" t="str">
        <f>TEXT(Table1[[#This Row],[Date]],"mmm")</f>
        <v>Jul</v>
      </c>
    </row>
    <row r="247" spans="1:11" x14ac:dyDescent="0.35">
      <c r="A247" s="1">
        <v>45729</v>
      </c>
      <c r="B247" t="s">
        <v>7</v>
      </c>
      <c r="C247" t="s">
        <v>8</v>
      </c>
      <c r="D247">
        <v>5500</v>
      </c>
      <c r="E247">
        <v>275</v>
      </c>
      <c r="F247">
        <v>900</v>
      </c>
      <c r="G247">
        <v>4600</v>
      </c>
      <c r="H247">
        <f>Table1[[#This Row],[Gross_Revenue]]-Table1[[#This Row],[Refunds]]</f>
        <v>5225</v>
      </c>
      <c r="I247">
        <f>Table1[[#This Row],[Net_Revenue]]/Table1[[#This Row],[Marketing_Spend]]</f>
        <v>5.8055555555555554</v>
      </c>
      <c r="J247">
        <f>Table1[[#This Row],[Marketing_Spend]]/Table1[[#This Row],[Web_Traffic]]</f>
        <v>0.19565217391304349</v>
      </c>
      <c r="K247" t="str">
        <f>TEXT(Table1[[#This Row],[Date]],"mmm")</f>
        <v>Mar</v>
      </c>
    </row>
    <row r="248" spans="1:11" x14ac:dyDescent="0.35">
      <c r="A248" s="1">
        <v>45737</v>
      </c>
      <c r="B248" t="s">
        <v>9</v>
      </c>
      <c r="C248" t="s">
        <v>10</v>
      </c>
      <c r="D248">
        <v>5500</v>
      </c>
      <c r="E248">
        <v>275</v>
      </c>
      <c r="F248">
        <v>1230</v>
      </c>
      <c r="G248">
        <v>6100</v>
      </c>
      <c r="H248">
        <f>Table1[[#This Row],[Gross_Revenue]]-Table1[[#This Row],[Refunds]]</f>
        <v>5225</v>
      </c>
      <c r="I248">
        <f>Table1[[#This Row],[Net_Revenue]]/Table1[[#This Row],[Marketing_Spend]]</f>
        <v>4.2479674796747968</v>
      </c>
      <c r="J248">
        <f>Table1[[#This Row],[Marketing_Spend]]/Table1[[#This Row],[Web_Traffic]]</f>
        <v>0.20163934426229507</v>
      </c>
      <c r="K248" t="str">
        <f>TEXT(Table1[[#This Row],[Date]],"mmm")</f>
        <v>Mar</v>
      </c>
    </row>
    <row r="249" spans="1:11" x14ac:dyDescent="0.35">
      <c r="A249" s="1">
        <v>45768</v>
      </c>
      <c r="B249" t="s">
        <v>7</v>
      </c>
      <c r="C249" t="s">
        <v>8</v>
      </c>
      <c r="D249">
        <v>5500</v>
      </c>
      <c r="E249">
        <v>275</v>
      </c>
      <c r="F249">
        <v>980</v>
      </c>
      <c r="G249">
        <v>5500</v>
      </c>
      <c r="H249">
        <f>Table1[[#This Row],[Gross_Revenue]]-Table1[[#This Row],[Refunds]]</f>
        <v>5225</v>
      </c>
      <c r="I249">
        <f>Table1[[#This Row],[Net_Revenue]]/Table1[[#This Row],[Marketing_Spend]]</f>
        <v>5.3316326530612246</v>
      </c>
      <c r="J249">
        <f>Table1[[#This Row],[Marketing_Spend]]/Table1[[#This Row],[Web_Traffic]]</f>
        <v>0.17818181818181819</v>
      </c>
      <c r="K249" t="str">
        <f>TEXT(Table1[[#This Row],[Date]],"mmm")</f>
        <v>Apr</v>
      </c>
    </row>
    <row r="250" spans="1:11" x14ac:dyDescent="0.35">
      <c r="A250" s="1">
        <v>45794</v>
      </c>
      <c r="B250" t="s">
        <v>7</v>
      </c>
      <c r="C250" t="s">
        <v>8</v>
      </c>
      <c r="D250">
        <v>5500</v>
      </c>
      <c r="E250">
        <v>275</v>
      </c>
      <c r="F250">
        <v>960</v>
      </c>
      <c r="G250">
        <v>5500</v>
      </c>
      <c r="H250">
        <f>Table1[[#This Row],[Gross_Revenue]]-Table1[[#This Row],[Refunds]]</f>
        <v>5225</v>
      </c>
      <c r="I250">
        <f>Table1[[#This Row],[Net_Revenue]]/Table1[[#This Row],[Marketing_Spend]]</f>
        <v>5.442708333333333</v>
      </c>
      <c r="J250">
        <f>Table1[[#This Row],[Marketing_Spend]]/Table1[[#This Row],[Web_Traffic]]</f>
        <v>0.17454545454545456</v>
      </c>
      <c r="K250" t="str">
        <f>TEXT(Table1[[#This Row],[Date]],"mmm")</f>
        <v>May</v>
      </c>
    </row>
    <row r="251" spans="1:11" x14ac:dyDescent="0.35">
      <c r="A251" s="1">
        <v>45802</v>
      </c>
      <c r="B251" t="s">
        <v>9</v>
      </c>
      <c r="C251" t="s">
        <v>10</v>
      </c>
      <c r="D251">
        <v>5500</v>
      </c>
      <c r="E251">
        <v>275</v>
      </c>
      <c r="F251">
        <v>1340</v>
      </c>
      <c r="G251">
        <v>6900</v>
      </c>
      <c r="H251">
        <f>Table1[[#This Row],[Gross_Revenue]]-Table1[[#This Row],[Refunds]]</f>
        <v>5225</v>
      </c>
      <c r="I251">
        <f>Table1[[#This Row],[Net_Revenue]]/Table1[[#This Row],[Marketing_Spend]]</f>
        <v>3.8992537313432836</v>
      </c>
      <c r="J251">
        <f>Table1[[#This Row],[Marketing_Spend]]/Table1[[#This Row],[Web_Traffic]]</f>
        <v>0.19420289855072465</v>
      </c>
      <c r="K251" t="str">
        <f>TEXT(Table1[[#This Row],[Date]],"mmm")</f>
        <v>May</v>
      </c>
    </row>
    <row r="252" spans="1:11" x14ac:dyDescent="0.35">
      <c r="A252" s="1">
        <v>45839</v>
      </c>
      <c r="B252" t="s">
        <v>7</v>
      </c>
      <c r="C252" t="s">
        <v>8</v>
      </c>
      <c r="D252">
        <v>5500</v>
      </c>
      <c r="E252">
        <v>275</v>
      </c>
      <c r="F252">
        <v>900</v>
      </c>
      <c r="G252">
        <v>5200</v>
      </c>
      <c r="H252">
        <f>Table1[[#This Row],[Gross_Revenue]]-Table1[[#This Row],[Refunds]]</f>
        <v>5225</v>
      </c>
      <c r="I252">
        <f>Table1[[#This Row],[Net_Revenue]]/Table1[[#This Row],[Marketing_Spend]]</f>
        <v>5.8055555555555554</v>
      </c>
      <c r="J252">
        <f>Table1[[#This Row],[Marketing_Spend]]/Table1[[#This Row],[Web_Traffic]]</f>
        <v>0.17307692307692307</v>
      </c>
      <c r="K252" t="str">
        <f>TEXT(Table1[[#This Row],[Date]],"mmm")</f>
        <v>Jul</v>
      </c>
    </row>
    <row r="253" spans="1:11" x14ac:dyDescent="0.35">
      <c r="A253" s="1">
        <v>45847</v>
      </c>
      <c r="B253" t="s">
        <v>9</v>
      </c>
      <c r="C253" t="s">
        <v>10</v>
      </c>
      <c r="D253">
        <v>5500</v>
      </c>
      <c r="E253">
        <v>275</v>
      </c>
      <c r="F253">
        <v>1280</v>
      </c>
      <c r="G253">
        <v>6900</v>
      </c>
      <c r="H253">
        <f>Table1[[#This Row],[Gross_Revenue]]-Table1[[#This Row],[Refunds]]</f>
        <v>5225</v>
      </c>
      <c r="I253">
        <f>Table1[[#This Row],[Net_Revenue]]/Table1[[#This Row],[Marketing_Spend]]</f>
        <v>4.08203125</v>
      </c>
      <c r="J253">
        <f>Table1[[#This Row],[Marketing_Spend]]/Table1[[#This Row],[Web_Traffic]]</f>
        <v>0.1855072463768116</v>
      </c>
      <c r="K253" t="str">
        <f>TEXT(Table1[[#This Row],[Date]],"mmm")</f>
        <v>Jul</v>
      </c>
    </row>
    <row r="254" spans="1:11" x14ac:dyDescent="0.35">
      <c r="A254" s="1">
        <v>45728</v>
      </c>
      <c r="B254" t="s">
        <v>7</v>
      </c>
      <c r="C254" t="s">
        <v>8</v>
      </c>
      <c r="D254">
        <v>5450</v>
      </c>
      <c r="E254">
        <v>272</v>
      </c>
      <c r="F254">
        <v>890</v>
      </c>
      <c r="G254">
        <v>4550</v>
      </c>
      <c r="H254">
        <f>Table1[[#This Row],[Gross_Revenue]]-Table1[[#This Row],[Refunds]]</f>
        <v>5178</v>
      </c>
      <c r="I254">
        <f>Table1[[#This Row],[Net_Revenue]]/Table1[[#This Row],[Marketing_Spend]]</f>
        <v>5.8179775280898873</v>
      </c>
      <c r="J254">
        <f>Table1[[#This Row],[Marketing_Spend]]/Table1[[#This Row],[Web_Traffic]]</f>
        <v>0.1956043956043956</v>
      </c>
      <c r="K254" t="str">
        <f>TEXT(Table1[[#This Row],[Date]],"mmm")</f>
        <v>Mar</v>
      </c>
    </row>
    <row r="255" spans="1:11" x14ac:dyDescent="0.35">
      <c r="A255" s="1">
        <v>45736</v>
      </c>
      <c r="B255" t="s">
        <v>9</v>
      </c>
      <c r="C255" t="s">
        <v>10</v>
      </c>
      <c r="D255">
        <v>5450</v>
      </c>
      <c r="E255">
        <v>272</v>
      </c>
      <c r="F255">
        <v>1220</v>
      </c>
      <c r="G255">
        <v>6050</v>
      </c>
      <c r="H255">
        <f>Table1[[#This Row],[Gross_Revenue]]-Table1[[#This Row],[Refunds]]</f>
        <v>5178</v>
      </c>
      <c r="I255">
        <f>Table1[[#This Row],[Net_Revenue]]/Table1[[#This Row],[Marketing_Spend]]</f>
        <v>4.2442622950819668</v>
      </c>
      <c r="J255">
        <f>Table1[[#This Row],[Marketing_Spend]]/Table1[[#This Row],[Web_Traffic]]</f>
        <v>0.20165289256198346</v>
      </c>
      <c r="K255" t="str">
        <f>TEXT(Table1[[#This Row],[Date]],"mmm")</f>
        <v>Mar</v>
      </c>
    </row>
    <row r="256" spans="1:11" x14ac:dyDescent="0.35">
      <c r="A256" s="1">
        <v>45793</v>
      </c>
      <c r="B256" t="s">
        <v>7</v>
      </c>
      <c r="C256" t="s">
        <v>8</v>
      </c>
      <c r="D256">
        <v>5450</v>
      </c>
      <c r="E256">
        <v>272</v>
      </c>
      <c r="F256">
        <v>950</v>
      </c>
      <c r="G256">
        <v>5450</v>
      </c>
      <c r="H256">
        <f>Table1[[#This Row],[Gross_Revenue]]-Table1[[#This Row],[Refunds]]</f>
        <v>5178</v>
      </c>
      <c r="I256">
        <f>Table1[[#This Row],[Net_Revenue]]/Table1[[#This Row],[Marketing_Spend]]</f>
        <v>5.4505263157894737</v>
      </c>
      <c r="J256">
        <f>Table1[[#This Row],[Marketing_Spend]]/Table1[[#This Row],[Web_Traffic]]</f>
        <v>0.1743119266055046</v>
      </c>
      <c r="K256" t="str">
        <f>TEXT(Table1[[#This Row],[Date]],"mmm")</f>
        <v>May</v>
      </c>
    </row>
    <row r="257" spans="1:11" x14ac:dyDescent="0.35">
      <c r="A257" s="1">
        <v>45801</v>
      </c>
      <c r="B257" t="s">
        <v>9</v>
      </c>
      <c r="C257" t="s">
        <v>10</v>
      </c>
      <c r="D257">
        <v>5450</v>
      </c>
      <c r="E257">
        <v>272</v>
      </c>
      <c r="F257">
        <v>1330</v>
      </c>
      <c r="G257">
        <v>6850</v>
      </c>
      <c r="H257">
        <f>Table1[[#This Row],[Gross_Revenue]]-Table1[[#This Row],[Refunds]]</f>
        <v>5178</v>
      </c>
      <c r="I257">
        <f>Table1[[#This Row],[Net_Revenue]]/Table1[[#This Row],[Marketing_Spend]]</f>
        <v>3.8932330827067667</v>
      </c>
      <c r="J257">
        <f>Table1[[#This Row],[Marketing_Spend]]/Table1[[#This Row],[Web_Traffic]]</f>
        <v>0.19416058394160585</v>
      </c>
      <c r="K257" t="str">
        <f>TEXT(Table1[[#This Row],[Date]],"mmm")</f>
        <v>May</v>
      </c>
    </row>
    <row r="258" spans="1:11" x14ac:dyDescent="0.35">
      <c r="A258" s="1">
        <v>45846</v>
      </c>
      <c r="B258" t="s">
        <v>9</v>
      </c>
      <c r="C258" t="s">
        <v>10</v>
      </c>
      <c r="D258">
        <v>5450</v>
      </c>
      <c r="E258">
        <v>272</v>
      </c>
      <c r="F258">
        <v>1270</v>
      </c>
      <c r="G258">
        <v>6850</v>
      </c>
      <c r="H258">
        <f>Table1[[#This Row],[Gross_Revenue]]-Table1[[#This Row],[Refunds]]</f>
        <v>5178</v>
      </c>
      <c r="I258">
        <f>Table1[[#This Row],[Net_Revenue]]/Table1[[#This Row],[Marketing_Spend]]</f>
        <v>4.0771653543307087</v>
      </c>
      <c r="J258">
        <f>Table1[[#This Row],[Marketing_Spend]]/Table1[[#This Row],[Web_Traffic]]</f>
        <v>0.1854014598540146</v>
      </c>
      <c r="K258" t="str">
        <f>TEXT(Table1[[#This Row],[Date]],"mmm")</f>
        <v>Jul</v>
      </c>
    </row>
    <row r="259" spans="1:11" x14ac:dyDescent="0.35">
      <c r="A259" s="1">
        <v>45727</v>
      </c>
      <c r="B259" t="s">
        <v>7</v>
      </c>
      <c r="C259" t="s">
        <v>8</v>
      </c>
      <c r="D259">
        <v>5400</v>
      </c>
      <c r="E259">
        <v>270</v>
      </c>
      <c r="F259">
        <v>880</v>
      </c>
      <c r="G259">
        <v>4500</v>
      </c>
      <c r="H259">
        <f>Table1[[#This Row],[Gross_Revenue]]-Table1[[#This Row],[Refunds]]</f>
        <v>5130</v>
      </c>
      <c r="I259">
        <f>Table1[[#This Row],[Net_Revenue]]/Table1[[#This Row],[Marketing_Spend]]</f>
        <v>5.8295454545454541</v>
      </c>
      <c r="J259">
        <f>Table1[[#This Row],[Marketing_Spend]]/Table1[[#This Row],[Web_Traffic]]</f>
        <v>0.19555555555555557</v>
      </c>
      <c r="K259" t="str">
        <f>TEXT(Table1[[#This Row],[Date]],"mmm")</f>
        <v>Mar</v>
      </c>
    </row>
    <row r="260" spans="1:11" x14ac:dyDescent="0.35">
      <c r="A260" s="1">
        <v>45735</v>
      </c>
      <c r="B260" t="s">
        <v>9</v>
      </c>
      <c r="C260" t="s">
        <v>10</v>
      </c>
      <c r="D260">
        <v>5400</v>
      </c>
      <c r="E260">
        <v>270</v>
      </c>
      <c r="F260">
        <v>1210</v>
      </c>
      <c r="G260">
        <v>6000</v>
      </c>
      <c r="H260">
        <f>Table1[[#This Row],[Gross_Revenue]]-Table1[[#This Row],[Refunds]]</f>
        <v>5130</v>
      </c>
      <c r="I260">
        <f>Table1[[#This Row],[Net_Revenue]]/Table1[[#This Row],[Marketing_Spend]]</f>
        <v>4.2396694214876032</v>
      </c>
      <c r="J260">
        <f>Table1[[#This Row],[Marketing_Spend]]/Table1[[#This Row],[Web_Traffic]]</f>
        <v>0.20166666666666666</v>
      </c>
      <c r="K260" t="str">
        <f>TEXT(Table1[[#This Row],[Date]],"mmm")</f>
        <v>Mar</v>
      </c>
    </row>
    <row r="261" spans="1:11" x14ac:dyDescent="0.35">
      <c r="A261" s="1">
        <v>45765</v>
      </c>
      <c r="B261" t="s">
        <v>9</v>
      </c>
      <c r="C261" t="s">
        <v>10</v>
      </c>
      <c r="D261">
        <v>5400</v>
      </c>
      <c r="E261">
        <v>270</v>
      </c>
      <c r="F261">
        <v>1400</v>
      </c>
      <c r="G261">
        <v>6800</v>
      </c>
      <c r="H261">
        <f>Table1[[#This Row],[Gross_Revenue]]-Table1[[#This Row],[Refunds]]</f>
        <v>5130</v>
      </c>
      <c r="I261">
        <f>Table1[[#This Row],[Net_Revenue]]/Table1[[#This Row],[Marketing_Spend]]</f>
        <v>3.6642857142857141</v>
      </c>
      <c r="J261">
        <f>Table1[[#This Row],[Marketing_Spend]]/Table1[[#This Row],[Web_Traffic]]</f>
        <v>0.20588235294117646</v>
      </c>
      <c r="K261" t="str">
        <f>TEXT(Table1[[#This Row],[Date]],"mmm")</f>
        <v>Apr</v>
      </c>
    </row>
    <row r="262" spans="1:11" x14ac:dyDescent="0.35">
      <c r="A262" s="1">
        <v>45769</v>
      </c>
      <c r="B262" t="s">
        <v>7</v>
      </c>
      <c r="C262" t="s">
        <v>8</v>
      </c>
      <c r="D262">
        <v>5400</v>
      </c>
      <c r="E262">
        <v>270</v>
      </c>
      <c r="F262">
        <v>960</v>
      </c>
      <c r="G262">
        <v>5400</v>
      </c>
      <c r="H262">
        <f>Table1[[#This Row],[Gross_Revenue]]-Table1[[#This Row],[Refunds]]</f>
        <v>5130</v>
      </c>
      <c r="I262">
        <f>Table1[[#This Row],[Net_Revenue]]/Table1[[#This Row],[Marketing_Spend]]</f>
        <v>5.34375</v>
      </c>
      <c r="J262">
        <f>Table1[[#This Row],[Marketing_Spend]]/Table1[[#This Row],[Web_Traffic]]</f>
        <v>0.17777777777777778</v>
      </c>
      <c r="K262" t="str">
        <f>TEXT(Table1[[#This Row],[Date]],"mmm")</f>
        <v>Apr</v>
      </c>
    </row>
    <row r="263" spans="1:11" x14ac:dyDescent="0.35">
      <c r="A263" s="1">
        <v>45792</v>
      </c>
      <c r="B263" t="s">
        <v>7</v>
      </c>
      <c r="C263" t="s">
        <v>8</v>
      </c>
      <c r="D263">
        <v>5400</v>
      </c>
      <c r="E263">
        <v>270</v>
      </c>
      <c r="F263">
        <v>940</v>
      </c>
      <c r="G263">
        <v>5400</v>
      </c>
      <c r="H263">
        <f>Table1[[#This Row],[Gross_Revenue]]-Table1[[#This Row],[Refunds]]</f>
        <v>5130</v>
      </c>
      <c r="I263">
        <f>Table1[[#This Row],[Net_Revenue]]/Table1[[#This Row],[Marketing_Spend]]</f>
        <v>5.457446808510638</v>
      </c>
      <c r="J263">
        <f>Table1[[#This Row],[Marketing_Spend]]/Table1[[#This Row],[Web_Traffic]]</f>
        <v>0.17407407407407408</v>
      </c>
      <c r="K263" t="str">
        <f>TEXT(Table1[[#This Row],[Date]],"mmm")</f>
        <v>May</v>
      </c>
    </row>
    <row r="264" spans="1:11" x14ac:dyDescent="0.35">
      <c r="A264" s="1">
        <v>45800</v>
      </c>
      <c r="B264" t="s">
        <v>9</v>
      </c>
      <c r="C264" t="s">
        <v>10</v>
      </c>
      <c r="D264">
        <v>5400</v>
      </c>
      <c r="E264">
        <v>270</v>
      </c>
      <c r="F264">
        <v>1320</v>
      </c>
      <c r="G264">
        <v>6800</v>
      </c>
      <c r="H264">
        <f>Table1[[#This Row],[Gross_Revenue]]-Table1[[#This Row],[Refunds]]</f>
        <v>5130</v>
      </c>
      <c r="I264">
        <f>Table1[[#This Row],[Net_Revenue]]/Table1[[#This Row],[Marketing_Spend]]</f>
        <v>3.8863636363636362</v>
      </c>
      <c r="J264">
        <f>Table1[[#This Row],[Marketing_Spend]]/Table1[[#This Row],[Web_Traffic]]</f>
        <v>0.19411764705882353</v>
      </c>
      <c r="K264" t="str">
        <f>TEXT(Table1[[#This Row],[Date]],"mmm")</f>
        <v>May</v>
      </c>
    </row>
    <row r="265" spans="1:11" x14ac:dyDescent="0.35">
      <c r="A265" s="1">
        <v>45845</v>
      </c>
      <c r="B265" t="s">
        <v>9</v>
      </c>
      <c r="C265" t="s">
        <v>10</v>
      </c>
      <c r="D265">
        <v>5400</v>
      </c>
      <c r="E265">
        <v>270</v>
      </c>
      <c r="F265">
        <v>1260</v>
      </c>
      <c r="G265">
        <v>6800</v>
      </c>
      <c r="H265">
        <f>Table1[[#This Row],[Gross_Revenue]]-Table1[[#This Row],[Refunds]]</f>
        <v>5130</v>
      </c>
      <c r="I265">
        <f>Table1[[#This Row],[Net_Revenue]]/Table1[[#This Row],[Marketing_Spend]]</f>
        <v>4.0714285714285712</v>
      </c>
      <c r="J265">
        <f>Table1[[#This Row],[Marketing_Spend]]/Table1[[#This Row],[Web_Traffic]]</f>
        <v>0.18529411764705883</v>
      </c>
      <c r="K265" t="str">
        <f>TEXT(Table1[[#This Row],[Date]],"mmm")</f>
        <v>Jul</v>
      </c>
    </row>
    <row r="266" spans="1:11" x14ac:dyDescent="0.35">
      <c r="A266" s="1">
        <v>45726</v>
      </c>
      <c r="B266" t="s">
        <v>7</v>
      </c>
      <c r="C266" t="s">
        <v>8</v>
      </c>
      <c r="D266">
        <v>5350</v>
      </c>
      <c r="E266">
        <v>267</v>
      </c>
      <c r="F266">
        <v>870</v>
      </c>
      <c r="G266">
        <v>4450</v>
      </c>
      <c r="H266">
        <f>Table1[[#This Row],[Gross_Revenue]]-Table1[[#This Row],[Refunds]]</f>
        <v>5083</v>
      </c>
      <c r="I266">
        <f>Table1[[#This Row],[Net_Revenue]]/Table1[[#This Row],[Marketing_Spend]]</f>
        <v>5.8425287356321842</v>
      </c>
      <c r="J266">
        <f>Table1[[#This Row],[Marketing_Spend]]/Table1[[#This Row],[Web_Traffic]]</f>
        <v>0.19550561797752808</v>
      </c>
      <c r="K266" t="str">
        <f>TEXT(Table1[[#This Row],[Date]],"mmm")</f>
        <v>Mar</v>
      </c>
    </row>
    <row r="267" spans="1:11" x14ac:dyDescent="0.35">
      <c r="A267" s="1">
        <v>45734</v>
      </c>
      <c r="B267" t="s">
        <v>9</v>
      </c>
      <c r="C267" t="s">
        <v>10</v>
      </c>
      <c r="D267">
        <v>5350</v>
      </c>
      <c r="E267">
        <v>267</v>
      </c>
      <c r="F267">
        <v>1200</v>
      </c>
      <c r="G267">
        <v>5950</v>
      </c>
      <c r="H267">
        <f>Table1[[#This Row],[Gross_Revenue]]-Table1[[#This Row],[Refunds]]</f>
        <v>5083</v>
      </c>
      <c r="I267">
        <f>Table1[[#This Row],[Net_Revenue]]/Table1[[#This Row],[Marketing_Spend]]</f>
        <v>4.2358333333333329</v>
      </c>
      <c r="J267">
        <f>Table1[[#This Row],[Marketing_Spend]]/Table1[[#This Row],[Web_Traffic]]</f>
        <v>0.20168067226890757</v>
      </c>
      <c r="K267" t="str">
        <f>TEXT(Table1[[#This Row],[Date]],"mmm")</f>
        <v>Mar</v>
      </c>
    </row>
    <row r="268" spans="1:11" x14ac:dyDescent="0.35">
      <c r="A268" s="1">
        <v>45791</v>
      </c>
      <c r="B268" t="s">
        <v>7</v>
      </c>
      <c r="C268" t="s">
        <v>8</v>
      </c>
      <c r="D268">
        <v>5350</v>
      </c>
      <c r="E268">
        <v>267</v>
      </c>
      <c r="F268">
        <v>930</v>
      </c>
      <c r="G268">
        <v>5350</v>
      </c>
      <c r="H268">
        <f>Table1[[#This Row],[Gross_Revenue]]-Table1[[#This Row],[Refunds]]</f>
        <v>5083</v>
      </c>
      <c r="I268">
        <f>Table1[[#This Row],[Net_Revenue]]/Table1[[#This Row],[Marketing_Spend]]</f>
        <v>5.4655913978494626</v>
      </c>
      <c r="J268">
        <f>Table1[[#This Row],[Marketing_Spend]]/Table1[[#This Row],[Web_Traffic]]</f>
        <v>0.17383177570093458</v>
      </c>
      <c r="K268" t="str">
        <f>TEXT(Table1[[#This Row],[Date]],"mmm")</f>
        <v>May</v>
      </c>
    </row>
    <row r="269" spans="1:11" x14ac:dyDescent="0.35">
      <c r="A269" s="1">
        <v>45799</v>
      </c>
      <c r="B269" t="s">
        <v>9</v>
      </c>
      <c r="C269" t="s">
        <v>10</v>
      </c>
      <c r="D269">
        <v>5350</v>
      </c>
      <c r="E269">
        <v>267</v>
      </c>
      <c r="F269">
        <v>1310</v>
      </c>
      <c r="G269">
        <v>6750</v>
      </c>
      <c r="H269">
        <f>Table1[[#This Row],[Gross_Revenue]]-Table1[[#This Row],[Refunds]]</f>
        <v>5083</v>
      </c>
      <c r="I269">
        <f>Table1[[#This Row],[Net_Revenue]]/Table1[[#This Row],[Marketing_Spend]]</f>
        <v>3.8801526717557251</v>
      </c>
      <c r="J269">
        <f>Table1[[#This Row],[Marketing_Spend]]/Table1[[#This Row],[Web_Traffic]]</f>
        <v>0.19407407407407407</v>
      </c>
      <c r="K269" t="str">
        <f>TEXT(Table1[[#This Row],[Date]],"mmm")</f>
        <v>May</v>
      </c>
    </row>
    <row r="270" spans="1:11" x14ac:dyDescent="0.35">
      <c r="A270" s="1">
        <v>45844</v>
      </c>
      <c r="B270" t="s">
        <v>9</v>
      </c>
      <c r="C270" t="s">
        <v>10</v>
      </c>
      <c r="D270">
        <v>5350</v>
      </c>
      <c r="E270">
        <v>267</v>
      </c>
      <c r="F270">
        <v>1250</v>
      </c>
      <c r="G270">
        <v>6750</v>
      </c>
      <c r="H270">
        <f>Table1[[#This Row],[Gross_Revenue]]-Table1[[#This Row],[Refunds]]</f>
        <v>5083</v>
      </c>
      <c r="I270">
        <f>Table1[[#This Row],[Net_Revenue]]/Table1[[#This Row],[Marketing_Spend]]</f>
        <v>4.0663999999999998</v>
      </c>
      <c r="J270">
        <f>Table1[[#This Row],[Marketing_Spend]]/Table1[[#This Row],[Web_Traffic]]</f>
        <v>0.18518518518518517</v>
      </c>
      <c r="K270" t="str">
        <f>TEXT(Table1[[#This Row],[Date]],"mmm")</f>
        <v>Jul</v>
      </c>
    </row>
    <row r="271" spans="1:11" x14ac:dyDescent="0.35">
      <c r="A271" s="1">
        <v>45725</v>
      </c>
      <c r="B271" t="s">
        <v>7</v>
      </c>
      <c r="C271" t="s">
        <v>8</v>
      </c>
      <c r="D271">
        <v>5300</v>
      </c>
      <c r="E271">
        <v>265</v>
      </c>
      <c r="F271">
        <v>860</v>
      </c>
      <c r="G271">
        <v>4400</v>
      </c>
      <c r="H271">
        <f>Table1[[#This Row],[Gross_Revenue]]-Table1[[#This Row],[Refunds]]</f>
        <v>5035</v>
      </c>
      <c r="I271">
        <f>Table1[[#This Row],[Net_Revenue]]/Table1[[#This Row],[Marketing_Spend]]</f>
        <v>5.8546511627906979</v>
      </c>
      <c r="J271">
        <f>Table1[[#This Row],[Marketing_Spend]]/Table1[[#This Row],[Web_Traffic]]</f>
        <v>0.19545454545454546</v>
      </c>
      <c r="K271" t="str">
        <f>TEXT(Table1[[#This Row],[Date]],"mmm")</f>
        <v>Mar</v>
      </c>
    </row>
    <row r="272" spans="1:11" x14ac:dyDescent="0.35">
      <c r="A272" s="1">
        <v>45733</v>
      </c>
      <c r="B272" t="s">
        <v>9</v>
      </c>
      <c r="C272" t="s">
        <v>10</v>
      </c>
      <c r="D272">
        <v>5300</v>
      </c>
      <c r="E272">
        <v>265</v>
      </c>
      <c r="F272">
        <v>1190</v>
      </c>
      <c r="G272">
        <v>5900</v>
      </c>
      <c r="H272">
        <f>Table1[[#This Row],[Gross_Revenue]]-Table1[[#This Row],[Refunds]]</f>
        <v>5035</v>
      </c>
      <c r="I272">
        <f>Table1[[#This Row],[Net_Revenue]]/Table1[[#This Row],[Marketing_Spend]]</f>
        <v>4.23109243697479</v>
      </c>
      <c r="J272">
        <f>Table1[[#This Row],[Marketing_Spend]]/Table1[[#This Row],[Web_Traffic]]</f>
        <v>0.2016949152542373</v>
      </c>
      <c r="K272" t="str">
        <f>TEXT(Table1[[#This Row],[Date]],"mmm")</f>
        <v>Mar</v>
      </c>
    </row>
    <row r="273" spans="1:11" x14ac:dyDescent="0.35">
      <c r="A273" s="1">
        <v>45766</v>
      </c>
      <c r="B273" t="s">
        <v>9</v>
      </c>
      <c r="C273" t="s">
        <v>10</v>
      </c>
      <c r="D273">
        <v>5300</v>
      </c>
      <c r="E273">
        <v>265</v>
      </c>
      <c r="F273">
        <v>1350</v>
      </c>
      <c r="G273">
        <v>6700</v>
      </c>
      <c r="H273">
        <f>Table1[[#This Row],[Gross_Revenue]]-Table1[[#This Row],[Refunds]]</f>
        <v>5035</v>
      </c>
      <c r="I273">
        <f>Table1[[#This Row],[Net_Revenue]]/Table1[[#This Row],[Marketing_Spend]]</f>
        <v>3.7296296296296299</v>
      </c>
      <c r="J273">
        <f>Table1[[#This Row],[Marketing_Spend]]/Table1[[#This Row],[Web_Traffic]]</f>
        <v>0.20149253731343283</v>
      </c>
      <c r="K273" t="str">
        <f>TEXT(Table1[[#This Row],[Date]],"mmm")</f>
        <v>Apr</v>
      </c>
    </row>
    <row r="274" spans="1:11" x14ac:dyDescent="0.35">
      <c r="A274" s="1">
        <v>45770</v>
      </c>
      <c r="B274" t="s">
        <v>7</v>
      </c>
      <c r="C274" t="s">
        <v>8</v>
      </c>
      <c r="D274">
        <v>5300</v>
      </c>
      <c r="E274">
        <v>265</v>
      </c>
      <c r="F274">
        <v>940</v>
      </c>
      <c r="G274">
        <v>5300</v>
      </c>
      <c r="H274">
        <f>Table1[[#This Row],[Gross_Revenue]]-Table1[[#This Row],[Refunds]]</f>
        <v>5035</v>
      </c>
      <c r="I274">
        <f>Table1[[#This Row],[Net_Revenue]]/Table1[[#This Row],[Marketing_Spend]]</f>
        <v>5.3563829787234045</v>
      </c>
      <c r="J274">
        <f>Table1[[#This Row],[Marketing_Spend]]/Table1[[#This Row],[Web_Traffic]]</f>
        <v>0.17735849056603772</v>
      </c>
      <c r="K274" t="str">
        <f>TEXT(Table1[[#This Row],[Date]],"mmm")</f>
        <v>Apr</v>
      </c>
    </row>
    <row r="275" spans="1:11" x14ac:dyDescent="0.35">
      <c r="A275" s="1">
        <v>45790</v>
      </c>
      <c r="B275" t="s">
        <v>7</v>
      </c>
      <c r="C275" t="s">
        <v>8</v>
      </c>
      <c r="D275">
        <v>5300</v>
      </c>
      <c r="E275">
        <v>265</v>
      </c>
      <c r="F275">
        <v>920</v>
      </c>
      <c r="G275">
        <v>5300</v>
      </c>
      <c r="H275">
        <f>Table1[[#This Row],[Gross_Revenue]]-Table1[[#This Row],[Refunds]]</f>
        <v>5035</v>
      </c>
      <c r="I275">
        <f>Table1[[#This Row],[Net_Revenue]]/Table1[[#This Row],[Marketing_Spend]]</f>
        <v>5.4728260869565215</v>
      </c>
      <c r="J275">
        <f>Table1[[#This Row],[Marketing_Spend]]/Table1[[#This Row],[Web_Traffic]]</f>
        <v>0.17358490566037735</v>
      </c>
      <c r="K275" t="str">
        <f>TEXT(Table1[[#This Row],[Date]],"mmm")</f>
        <v>May</v>
      </c>
    </row>
    <row r="276" spans="1:11" x14ac:dyDescent="0.35">
      <c r="A276" s="1">
        <v>45798</v>
      </c>
      <c r="B276" t="s">
        <v>9</v>
      </c>
      <c r="C276" t="s">
        <v>10</v>
      </c>
      <c r="D276">
        <v>5300</v>
      </c>
      <c r="E276">
        <v>265</v>
      </c>
      <c r="F276">
        <v>1300</v>
      </c>
      <c r="G276">
        <v>6700</v>
      </c>
      <c r="H276">
        <f>Table1[[#This Row],[Gross_Revenue]]-Table1[[#This Row],[Refunds]]</f>
        <v>5035</v>
      </c>
      <c r="I276">
        <f>Table1[[#This Row],[Net_Revenue]]/Table1[[#This Row],[Marketing_Spend]]</f>
        <v>3.8730769230769231</v>
      </c>
      <c r="J276">
        <f>Table1[[#This Row],[Marketing_Spend]]/Table1[[#This Row],[Web_Traffic]]</f>
        <v>0.19402985074626866</v>
      </c>
      <c r="K276" t="str">
        <f>TEXT(Table1[[#This Row],[Date]],"mmm")</f>
        <v>May</v>
      </c>
    </row>
    <row r="277" spans="1:11" x14ac:dyDescent="0.35">
      <c r="A277" s="1">
        <v>45825</v>
      </c>
      <c r="B277" t="s">
        <v>7</v>
      </c>
      <c r="C277" t="s">
        <v>8</v>
      </c>
      <c r="D277">
        <v>5300</v>
      </c>
      <c r="E277">
        <v>4900</v>
      </c>
      <c r="F277">
        <v>720</v>
      </c>
      <c r="G277">
        <v>4600</v>
      </c>
      <c r="H277">
        <f>Table1[[#This Row],[Gross_Revenue]]-Table1[[#This Row],[Refunds]]</f>
        <v>400</v>
      </c>
      <c r="I277">
        <f>Table1[[#This Row],[Net_Revenue]]/Table1[[#This Row],[Marketing_Spend]]</f>
        <v>0.55555555555555558</v>
      </c>
      <c r="J277">
        <f>Table1[[#This Row],[Marketing_Spend]]/Table1[[#This Row],[Web_Traffic]]</f>
        <v>0.15652173913043479</v>
      </c>
      <c r="K277" t="str">
        <f>TEXT(Table1[[#This Row],[Date]],"mmm")</f>
        <v>Jun</v>
      </c>
    </row>
    <row r="278" spans="1:11" x14ac:dyDescent="0.35">
      <c r="A278" s="1">
        <v>45828</v>
      </c>
      <c r="B278" t="s">
        <v>7</v>
      </c>
      <c r="C278" t="s">
        <v>8</v>
      </c>
      <c r="D278">
        <v>5300</v>
      </c>
      <c r="E278">
        <v>4900</v>
      </c>
      <c r="F278">
        <v>720</v>
      </c>
      <c r="G278">
        <v>4600</v>
      </c>
      <c r="H278">
        <f>Table1[[#This Row],[Gross_Revenue]]-Table1[[#This Row],[Refunds]]</f>
        <v>400</v>
      </c>
      <c r="I278">
        <f>Table1[[#This Row],[Net_Revenue]]/Table1[[#This Row],[Marketing_Spend]]</f>
        <v>0.55555555555555558</v>
      </c>
      <c r="J278">
        <f>Table1[[#This Row],[Marketing_Spend]]/Table1[[#This Row],[Web_Traffic]]</f>
        <v>0.15652173913043479</v>
      </c>
      <c r="K278" t="str">
        <f>TEXT(Table1[[#This Row],[Date]],"mmm")</f>
        <v>Jun</v>
      </c>
    </row>
    <row r="279" spans="1:11" x14ac:dyDescent="0.35">
      <c r="A279" s="1">
        <v>45843</v>
      </c>
      <c r="B279" t="s">
        <v>9</v>
      </c>
      <c r="C279" t="s">
        <v>10</v>
      </c>
      <c r="D279">
        <v>5300</v>
      </c>
      <c r="E279">
        <v>265</v>
      </c>
      <c r="F279">
        <v>1240</v>
      </c>
      <c r="G279">
        <v>6700</v>
      </c>
      <c r="H279">
        <f>Table1[[#This Row],[Gross_Revenue]]-Table1[[#This Row],[Refunds]]</f>
        <v>5035</v>
      </c>
      <c r="I279">
        <f>Table1[[#This Row],[Net_Revenue]]/Table1[[#This Row],[Marketing_Spend]]</f>
        <v>4.060483870967742</v>
      </c>
      <c r="J279">
        <f>Table1[[#This Row],[Marketing_Spend]]/Table1[[#This Row],[Web_Traffic]]</f>
        <v>0.18507462686567164</v>
      </c>
      <c r="K279" t="str">
        <f>TEXT(Table1[[#This Row],[Date]],"mmm")</f>
        <v>Jul</v>
      </c>
    </row>
    <row r="280" spans="1:11" x14ac:dyDescent="0.35">
      <c r="A280" s="1">
        <v>45724</v>
      </c>
      <c r="B280" t="s">
        <v>7</v>
      </c>
      <c r="C280" t="s">
        <v>8</v>
      </c>
      <c r="D280">
        <v>5250</v>
      </c>
      <c r="E280">
        <v>262</v>
      </c>
      <c r="F280">
        <v>850</v>
      </c>
      <c r="G280">
        <v>4350</v>
      </c>
      <c r="H280">
        <f>Table1[[#This Row],[Gross_Revenue]]-Table1[[#This Row],[Refunds]]</f>
        <v>4988</v>
      </c>
      <c r="I280">
        <f>Table1[[#This Row],[Net_Revenue]]/Table1[[#This Row],[Marketing_Spend]]</f>
        <v>5.868235294117647</v>
      </c>
      <c r="J280">
        <f>Table1[[#This Row],[Marketing_Spend]]/Table1[[#This Row],[Web_Traffic]]</f>
        <v>0.19540229885057472</v>
      </c>
      <c r="K280" t="str">
        <f>TEXT(Table1[[#This Row],[Date]],"mmm")</f>
        <v>Mar</v>
      </c>
    </row>
    <row r="281" spans="1:11" x14ac:dyDescent="0.35">
      <c r="A281" s="1">
        <v>45732</v>
      </c>
      <c r="B281" t="s">
        <v>9</v>
      </c>
      <c r="C281" t="s">
        <v>10</v>
      </c>
      <c r="D281">
        <v>5250</v>
      </c>
      <c r="E281">
        <v>262</v>
      </c>
      <c r="F281">
        <v>1180</v>
      </c>
      <c r="G281">
        <v>5850</v>
      </c>
      <c r="H281">
        <f>Table1[[#This Row],[Gross_Revenue]]-Table1[[#This Row],[Refunds]]</f>
        <v>4988</v>
      </c>
      <c r="I281">
        <f>Table1[[#This Row],[Net_Revenue]]/Table1[[#This Row],[Marketing_Spend]]</f>
        <v>4.2271186440677964</v>
      </c>
      <c r="J281">
        <f>Table1[[#This Row],[Marketing_Spend]]/Table1[[#This Row],[Web_Traffic]]</f>
        <v>0.20170940170940171</v>
      </c>
      <c r="K281" t="str">
        <f>TEXT(Table1[[#This Row],[Date]],"mmm")</f>
        <v>Mar</v>
      </c>
    </row>
    <row r="282" spans="1:11" x14ac:dyDescent="0.35">
      <c r="A282" s="1">
        <v>45789</v>
      </c>
      <c r="B282" t="s">
        <v>7</v>
      </c>
      <c r="C282" t="s">
        <v>8</v>
      </c>
      <c r="D282">
        <v>5250</v>
      </c>
      <c r="E282">
        <v>262</v>
      </c>
      <c r="F282">
        <v>910</v>
      </c>
      <c r="G282">
        <v>5250</v>
      </c>
      <c r="H282">
        <f>Table1[[#This Row],[Gross_Revenue]]-Table1[[#This Row],[Refunds]]</f>
        <v>4988</v>
      </c>
      <c r="I282">
        <f>Table1[[#This Row],[Net_Revenue]]/Table1[[#This Row],[Marketing_Spend]]</f>
        <v>5.4813186813186814</v>
      </c>
      <c r="J282">
        <f>Table1[[#This Row],[Marketing_Spend]]/Table1[[#This Row],[Web_Traffic]]</f>
        <v>0.17333333333333334</v>
      </c>
      <c r="K282" t="str">
        <f>TEXT(Table1[[#This Row],[Date]],"mmm")</f>
        <v>May</v>
      </c>
    </row>
    <row r="283" spans="1:11" x14ac:dyDescent="0.35">
      <c r="A283" s="1">
        <v>45797</v>
      </c>
      <c r="B283" t="s">
        <v>9</v>
      </c>
      <c r="C283" t="s">
        <v>10</v>
      </c>
      <c r="D283">
        <v>5250</v>
      </c>
      <c r="E283">
        <v>262</v>
      </c>
      <c r="F283">
        <v>1290</v>
      </c>
      <c r="G283">
        <v>6650</v>
      </c>
      <c r="H283">
        <f>Table1[[#This Row],[Gross_Revenue]]-Table1[[#This Row],[Refunds]]</f>
        <v>4988</v>
      </c>
      <c r="I283">
        <f>Table1[[#This Row],[Net_Revenue]]/Table1[[#This Row],[Marketing_Spend]]</f>
        <v>3.8666666666666667</v>
      </c>
      <c r="J283">
        <f>Table1[[#This Row],[Marketing_Spend]]/Table1[[#This Row],[Web_Traffic]]</f>
        <v>0.19398496240601504</v>
      </c>
      <c r="K283" t="str">
        <f>TEXT(Table1[[#This Row],[Date]],"mmm")</f>
        <v>May</v>
      </c>
    </row>
    <row r="284" spans="1:11" x14ac:dyDescent="0.35">
      <c r="A284" s="1">
        <v>45842</v>
      </c>
      <c r="B284" t="s">
        <v>9</v>
      </c>
      <c r="C284" t="s">
        <v>10</v>
      </c>
      <c r="D284">
        <v>5250</v>
      </c>
      <c r="E284">
        <v>262</v>
      </c>
      <c r="F284">
        <v>1230</v>
      </c>
      <c r="G284">
        <v>6650</v>
      </c>
      <c r="H284">
        <f>Table1[[#This Row],[Gross_Revenue]]-Table1[[#This Row],[Refunds]]</f>
        <v>4988</v>
      </c>
      <c r="I284">
        <f>Table1[[#This Row],[Net_Revenue]]/Table1[[#This Row],[Marketing_Spend]]</f>
        <v>4.0552845528455288</v>
      </c>
      <c r="J284">
        <f>Table1[[#This Row],[Marketing_Spend]]/Table1[[#This Row],[Web_Traffic]]</f>
        <v>0.18496240601503761</v>
      </c>
      <c r="K284" t="str">
        <f>TEXT(Table1[[#This Row],[Date]],"mmm")</f>
        <v>Jul</v>
      </c>
    </row>
    <row r="285" spans="1:11" x14ac:dyDescent="0.35">
      <c r="A285" s="1">
        <v>45723</v>
      </c>
      <c r="B285" t="s">
        <v>7</v>
      </c>
      <c r="C285" t="s">
        <v>8</v>
      </c>
      <c r="D285">
        <v>5200</v>
      </c>
      <c r="E285">
        <v>260</v>
      </c>
      <c r="F285">
        <v>840</v>
      </c>
      <c r="G285">
        <v>4300</v>
      </c>
      <c r="H285">
        <f>Table1[[#This Row],[Gross_Revenue]]-Table1[[#This Row],[Refunds]]</f>
        <v>4940</v>
      </c>
      <c r="I285">
        <f>Table1[[#This Row],[Net_Revenue]]/Table1[[#This Row],[Marketing_Spend]]</f>
        <v>5.8809523809523814</v>
      </c>
      <c r="J285">
        <f>Table1[[#This Row],[Marketing_Spend]]/Table1[[#This Row],[Web_Traffic]]</f>
        <v>0.19534883720930232</v>
      </c>
      <c r="K285" t="str">
        <f>TEXT(Table1[[#This Row],[Date]],"mmm")</f>
        <v>Mar</v>
      </c>
    </row>
    <row r="286" spans="1:11" x14ac:dyDescent="0.35">
      <c r="A286" s="1">
        <v>45731</v>
      </c>
      <c r="B286" t="s">
        <v>9</v>
      </c>
      <c r="C286" t="s">
        <v>10</v>
      </c>
      <c r="D286">
        <v>5200</v>
      </c>
      <c r="E286">
        <v>260</v>
      </c>
      <c r="F286">
        <v>1170</v>
      </c>
      <c r="G286">
        <v>5800</v>
      </c>
      <c r="H286">
        <f>Table1[[#This Row],[Gross_Revenue]]-Table1[[#This Row],[Refunds]]</f>
        <v>4940</v>
      </c>
      <c r="I286">
        <f>Table1[[#This Row],[Net_Revenue]]/Table1[[#This Row],[Marketing_Spend]]</f>
        <v>4.2222222222222223</v>
      </c>
      <c r="J286">
        <f>Table1[[#This Row],[Marketing_Spend]]/Table1[[#This Row],[Web_Traffic]]</f>
        <v>0.20172413793103447</v>
      </c>
      <c r="K286" t="str">
        <f>TEXT(Table1[[#This Row],[Date]],"mmm")</f>
        <v>Mar</v>
      </c>
    </row>
    <row r="287" spans="1:11" x14ac:dyDescent="0.35">
      <c r="A287" s="1">
        <v>45767</v>
      </c>
      <c r="B287" t="s">
        <v>9</v>
      </c>
      <c r="C287" t="s">
        <v>10</v>
      </c>
      <c r="D287">
        <v>5200</v>
      </c>
      <c r="E287">
        <v>260</v>
      </c>
      <c r="F287">
        <v>1300</v>
      </c>
      <c r="G287">
        <v>6600</v>
      </c>
      <c r="H287">
        <f>Table1[[#This Row],[Gross_Revenue]]-Table1[[#This Row],[Refunds]]</f>
        <v>4940</v>
      </c>
      <c r="I287">
        <f>Table1[[#This Row],[Net_Revenue]]/Table1[[#This Row],[Marketing_Spend]]</f>
        <v>3.8</v>
      </c>
      <c r="J287">
        <f>Table1[[#This Row],[Marketing_Spend]]/Table1[[#This Row],[Web_Traffic]]</f>
        <v>0.19696969696969696</v>
      </c>
      <c r="K287" t="str">
        <f>TEXT(Table1[[#This Row],[Date]],"mmm")</f>
        <v>Apr</v>
      </c>
    </row>
    <row r="288" spans="1:11" x14ac:dyDescent="0.35">
      <c r="A288" s="1">
        <v>45771</v>
      </c>
      <c r="B288" t="s">
        <v>7</v>
      </c>
      <c r="C288" t="s">
        <v>8</v>
      </c>
      <c r="D288">
        <v>5200</v>
      </c>
      <c r="E288">
        <v>260</v>
      </c>
      <c r="F288">
        <v>920</v>
      </c>
      <c r="G288">
        <v>5200</v>
      </c>
      <c r="H288">
        <f>Table1[[#This Row],[Gross_Revenue]]-Table1[[#This Row],[Refunds]]</f>
        <v>4940</v>
      </c>
      <c r="I288">
        <f>Table1[[#This Row],[Net_Revenue]]/Table1[[#This Row],[Marketing_Spend]]</f>
        <v>5.3695652173913047</v>
      </c>
      <c r="J288">
        <f>Table1[[#This Row],[Marketing_Spend]]/Table1[[#This Row],[Web_Traffic]]</f>
        <v>0.17692307692307693</v>
      </c>
      <c r="K288" t="str">
        <f>TEXT(Table1[[#This Row],[Date]],"mmm")</f>
        <v>Apr</v>
      </c>
    </row>
    <row r="289" spans="1:11" x14ac:dyDescent="0.35">
      <c r="A289" s="1">
        <v>45788</v>
      </c>
      <c r="B289" t="s">
        <v>7</v>
      </c>
      <c r="C289" t="s">
        <v>8</v>
      </c>
      <c r="D289">
        <v>5200</v>
      </c>
      <c r="E289">
        <v>260</v>
      </c>
      <c r="F289">
        <v>900</v>
      </c>
      <c r="G289">
        <v>5200</v>
      </c>
      <c r="H289">
        <f>Table1[[#This Row],[Gross_Revenue]]-Table1[[#This Row],[Refunds]]</f>
        <v>4940</v>
      </c>
      <c r="I289">
        <f>Table1[[#This Row],[Net_Revenue]]/Table1[[#This Row],[Marketing_Spend]]</f>
        <v>5.4888888888888889</v>
      </c>
      <c r="J289">
        <f>Table1[[#This Row],[Marketing_Spend]]/Table1[[#This Row],[Web_Traffic]]</f>
        <v>0.17307692307692307</v>
      </c>
      <c r="K289" t="str">
        <f>TEXT(Table1[[#This Row],[Date]],"mmm")</f>
        <v>May</v>
      </c>
    </row>
    <row r="290" spans="1:11" x14ac:dyDescent="0.35">
      <c r="A290" s="1">
        <v>45796</v>
      </c>
      <c r="B290" t="s">
        <v>9</v>
      </c>
      <c r="C290" t="s">
        <v>10</v>
      </c>
      <c r="D290">
        <v>5200</v>
      </c>
      <c r="E290">
        <v>260</v>
      </c>
      <c r="F290">
        <v>1280</v>
      </c>
      <c r="G290">
        <v>6600</v>
      </c>
      <c r="H290">
        <f>Table1[[#This Row],[Gross_Revenue]]-Table1[[#This Row],[Refunds]]</f>
        <v>4940</v>
      </c>
      <c r="I290">
        <f>Table1[[#This Row],[Net_Revenue]]/Table1[[#This Row],[Marketing_Spend]]</f>
        <v>3.859375</v>
      </c>
      <c r="J290">
        <f>Table1[[#This Row],[Marketing_Spend]]/Table1[[#This Row],[Web_Traffic]]</f>
        <v>0.19393939393939394</v>
      </c>
      <c r="K290" t="str">
        <f>TEXT(Table1[[#This Row],[Date]],"mmm")</f>
        <v>May</v>
      </c>
    </row>
    <row r="291" spans="1:11" x14ac:dyDescent="0.35">
      <c r="A291" s="1">
        <v>45823</v>
      </c>
      <c r="B291" t="s">
        <v>7</v>
      </c>
      <c r="C291" t="s">
        <v>8</v>
      </c>
      <c r="D291">
        <v>5200</v>
      </c>
      <c r="E291">
        <v>4800</v>
      </c>
      <c r="F291">
        <v>700</v>
      </c>
      <c r="G291">
        <v>4500</v>
      </c>
      <c r="H291">
        <f>Table1[[#This Row],[Gross_Revenue]]-Table1[[#This Row],[Refunds]]</f>
        <v>400</v>
      </c>
      <c r="I291">
        <f>Table1[[#This Row],[Net_Revenue]]/Table1[[#This Row],[Marketing_Spend]]</f>
        <v>0.5714285714285714</v>
      </c>
      <c r="J291">
        <f>Table1[[#This Row],[Marketing_Spend]]/Table1[[#This Row],[Web_Traffic]]</f>
        <v>0.15555555555555556</v>
      </c>
      <c r="K291" t="str">
        <f>TEXT(Table1[[#This Row],[Date]],"mmm")</f>
        <v>Jun</v>
      </c>
    </row>
    <row r="292" spans="1:11" x14ac:dyDescent="0.35">
      <c r="A292" s="1">
        <v>45826</v>
      </c>
      <c r="B292" t="s">
        <v>7</v>
      </c>
      <c r="C292" t="s">
        <v>8</v>
      </c>
      <c r="D292">
        <v>5200</v>
      </c>
      <c r="E292">
        <v>4800</v>
      </c>
      <c r="F292">
        <v>700</v>
      </c>
      <c r="G292">
        <v>4500</v>
      </c>
      <c r="H292">
        <f>Table1[[#This Row],[Gross_Revenue]]-Table1[[#This Row],[Refunds]]</f>
        <v>400</v>
      </c>
      <c r="I292">
        <f>Table1[[#This Row],[Net_Revenue]]/Table1[[#This Row],[Marketing_Spend]]</f>
        <v>0.5714285714285714</v>
      </c>
      <c r="J292">
        <f>Table1[[#This Row],[Marketing_Spend]]/Table1[[#This Row],[Web_Traffic]]</f>
        <v>0.15555555555555556</v>
      </c>
      <c r="K292" t="str">
        <f>TEXT(Table1[[#This Row],[Date]],"mmm")</f>
        <v>Jun</v>
      </c>
    </row>
    <row r="293" spans="1:11" x14ac:dyDescent="0.35">
      <c r="A293" s="1">
        <v>45829</v>
      </c>
      <c r="B293" t="s">
        <v>7</v>
      </c>
      <c r="C293" t="s">
        <v>8</v>
      </c>
      <c r="D293">
        <v>5200</v>
      </c>
      <c r="E293">
        <v>4800</v>
      </c>
      <c r="F293">
        <v>700</v>
      </c>
      <c r="G293">
        <v>4500</v>
      </c>
      <c r="H293">
        <f>Table1[[#This Row],[Gross_Revenue]]-Table1[[#This Row],[Refunds]]</f>
        <v>400</v>
      </c>
      <c r="I293">
        <f>Table1[[#This Row],[Net_Revenue]]/Table1[[#This Row],[Marketing_Spend]]</f>
        <v>0.5714285714285714</v>
      </c>
      <c r="J293">
        <f>Table1[[#This Row],[Marketing_Spend]]/Table1[[#This Row],[Web_Traffic]]</f>
        <v>0.15555555555555556</v>
      </c>
      <c r="K293" t="str">
        <f>TEXT(Table1[[#This Row],[Date]],"mmm")</f>
        <v>Jun</v>
      </c>
    </row>
    <row r="294" spans="1:11" x14ac:dyDescent="0.35">
      <c r="A294" s="1">
        <v>45841</v>
      </c>
      <c r="B294" t="s">
        <v>9</v>
      </c>
      <c r="C294" t="s">
        <v>10</v>
      </c>
      <c r="D294">
        <v>5200</v>
      </c>
      <c r="E294">
        <v>260</v>
      </c>
      <c r="F294">
        <v>1220</v>
      </c>
      <c r="G294">
        <v>6600</v>
      </c>
      <c r="H294">
        <f>Table1[[#This Row],[Gross_Revenue]]-Table1[[#This Row],[Refunds]]</f>
        <v>4940</v>
      </c>
      <c r="I294">
        <f>Table1[[#This Row],[Net_Revenue]]/Table1[[#This Row],[Marketing_Spend]]</f>
        <v>4.0491803278688527</v>
      </c>
      <c r="J294">
        <f>Table1[[#This Row],[Marketing_Spend]]/Table1[[#This Row],[Web_Traffic]]</f>
        <v>0.18484848484848485</v>
      </c>
      <c r="K294" t="str">
        <f>TEXT(Table1[[#This Row],[Date]],"mmm")</f>
        <v>Jul</v>
      </c>
    </row>
    <row r="295" spans="1:11" x14ac:dyDescent="0.35">
      <c r="A295" s="1">
        <v>45722</v>
      </c>
      <c r="B295" t="s">
        <v>7</v>
      </c>
      <c r="C295" t="s">
        <v>8</v>
      </c>
      <c r="D295">
        <v>5150</v>
      </c>
      <c r="E295">
        <v>257</v>
      </c>
      <c r="F295">
        <v>830</v>
      </c>
      <c r="G295">
        <v>4250</v>
      </c>
      <c r="H295">
        <f>Table1[[#This Row],[Gross_Revenue]]-Table1[[#This Row],[Refunds]]</f>
        <v>4893</v>
      </c>
      <c r="I295">
        <f>Table1[[#This Row],[Net_Revenue]]/Table1[[#This Row],[Marketing_Spend]]</f>
        <v>5.895180722891566</v>
      </c>
      <c r="J295">
        <f>Table1[[#This Row],[Marketing_Spend]]/Table1[[#This Row],[Web_Traffic]]</f>
        <v>0.19529411764705881</v>
      </c>
      <c r="K295" t="str">
        <f>TEXT(Table1[[#This Row],[Date]],"mmm")</f>
        <v>Mar</v>
      </c>
    </row>
    <row r="296" spans="1:11" x14ac:dyDescent="0.35">
      <c r="A296" s="1">
        <v>45730</v>
      </c>
      <c r="B296" t="s">
        <v>9</v>
      </c>
      <c r="C296" t="s">
        <v>10</v>
      </c>
      <c r="D296">
        <v>5150</v>
      </c>
      <c r="E296">
        <v>257</v>
      </c>
      <c r="F296">
        <v>1160</v>
      </c>
      <c r="G296">
        <v>5750</v>
      </c>
      <c r="H296">
        <f>Table1[[#This Row],[Gross_Revenue]]-Table1[[#This Row],[Refunds]]</f>
        <v>4893</v>
      </c>
      <c r="I296">
        <f>Table1[[#This Row],[Net_Revenue]]/Table1[[#This Row],[Marketing_Spend]]</f>
        <v>4.2181034482758619</v>
      </c>
      <c r="J296">
        <f>Table1[[#This Row],[Marketing_Spend]]/Table1[[#This Row],[Web_Traffic]]</f>
        <v>0.20173913043478262</v>
      </c>
      <c r="K296" t="str">
        <f>TEXT(Table1[[#This Row],[Date]],"mmm")</f>
        <v>Mar</v>
      </c>
    </row>
    <row r="297" spans="1:11" x14ac:dyDescent="0.35">
      <c r="A297" s="1">
        <v>45787</v>
      </c>
      <c r="B297" t="s">
        <v>7</v>
      </c>
      <c r="C297" t="s">
        <v>8</v>
      </c>
      <c r="D297">
        <v>5150</v>
      </c>
      <c r="E297">
        <v>257</v>
      </c>
      <c r="F297">
        <v>890</v>
      </c>
      <c r="G297">
        <v>5150</v>
      </c>
      <c r="H297">
        <f>Table1[[#This Row],[Gross_Revenue]]-Table1[[#This Row],[Refunds]]</f>
        <v>4893</v>
      </c>
      <c r="I297">
        <f>Table1[[#This Row],[Net_Revenue]]/Table1[[#This Row],[Marketing_Spend]]</f>
        <v>5.4977528089887642</v>
      </c>
      <c r="J297">
        <f>Table1[[#This Row],[Marketing_Spend]]/Table1[[#This Row],[Web_Traffic]]</f>
        <v>0.17281553398058253</v>
      </c>
      <c r="K297" t="str">
        <f>TEXT(Table1[[#This Row],[Date]],"mmm")</f>
        <v>May</v>
      </c>
    </row>
    <row r="298" spans="1:11" x14ac:dyDescent="0.35">
      <c r="A298" s="1">
        <v>45795</v>
      </c>
      <c r="B298" t="s">
        <v>9</v>
      </c>
      <c r="C298" t="s">
        <v>10</v>
      </c>
      <c r="D298">
        <v>5150</v>
      </c>
      <c r="E298">
        <v>257</v>
      </c>
      <c r="F298">
        <v>1270</v>
      </c>
      <c r="G298">
        <v>6550</v>
      </c>
      <c r="H298">
        <f>Table1[[#This Row],[Gross_Revenue]]-Table1[[#This Row],[Refunds]]</f>
        <v>4893</v>
      </c>
      <c r="I298">
        <f>Table1[[#This Row],[Net_Revenue]]/Table1[[#This Row],[Marketing_Spend]]</f>
        <v>3.852755905511811</v>
      </c>
      <c r="J298">
        <f>Table1[[#This Row],[Marketing_Spend]]/Table1[[#This Row],[Web_Traffic]]</f>
        <v>0.19389312977099238</v>
      </c>
      <c r="K298" t="str">
        <f>TEXT(Table1[[#This Row],[Date]],"mmm")</f>
        <v>May</v>
      </c>
    </row>
    <row r="299" spans="1:11" x14ac:dyDescent="0.35">
      <c r="A299" s="1">
        <v>45840</v>
      </c>
      <c r="B299" t="s">
        <v>9</v>
      </c>
      <c r="C299" t="s">
        <v>10</v>
      </c>
      <c r="D299">
        <v>5150</v>
      </c>
      <c r="E299">
        <v>257</v>
      </c>
      <c r="F299">
        <v>1210</v>
      </c>
      <c r="G299">
        <v>6550</v>
      </c>
      <c r="H299">
        <f>Table1[[#This Row],[Gross_Revenue]]-Table1[[#This Row],[Refunds]]</f>
        <v>4893</v>
      </c>
      <c r="I299">
        <f>Table1[[#This Row],[Net_Revenue]]/Table1[[#This Row],[Marketing_Spend]]</f>
        <v>4.0438016528925615</v>
      </c>
      <c r="J299">
        <f>Table1[[#This Row],[Marketing_Spend]]/Table1[[#This Row],[Web_Traffic]]</f>
        <v>0.18473282442748093</v>
      </c>
      <c r="K299" t="str">
        <f>TEXT(Table1[[#This Row],[Date]],"mmm")</f>
        <v>Jul</v>
      </c>
    </row>
    <row r="300" spans="1:11" x14ac:dyDescent="0.35">
      <c r="A300" s="1">
        <v>45721</v>
      </c>
      <c r="B300" t="s">
        <v>7</v>
      </c>
      <c r="C300" t="s">
        <v>8</v>
      </c>
      <c r="D300">
        <v>5100</v>
      </c>
      <c r="E300">
        <v>255</v>
      </c>
      <c r="F300">
        <v>820</v>
      </c>
      <c r="G300">
        <v>4200</v>
      </c>
      <c r="H300">
        <f>Table1[[#This Row],[Gross_Revenue]]-Table1[[#This Row],[Refunds]]</f>
        <v>4845</v>
      </c>
      <c r="I300">
        <f>Table1[[#This Row],[Net_Revenue]]/Table1[[#This Row],[Marketing_Spend]]</f>
        <v>5.9085365853658534</v>
      </c>
      <c r="J300">
        <f>Table1[[#This Row],[Marketing_Spend]]/Table1[[#This Row],[Web_Traffic]]</f>
        <v>0.19523809523809524</v>
      </c>
      <c r="K300" t="str">
        <f>TEXT(Table1[[#This Row],[Date]],"mmm")</f>
        <v>Mar</v>
      </c>
    </row>
    <row r="301" spans="1:11" x14ac:dyDescent="0.35">
      <c r="A301" s="1">
        <v>45729</v>
      </c>
      <c r="B301" t="s">
        <v>9</v>
      </c>
      <c r="C301" t="s">
        <v>10</v>
      </c>
      <c r="D301">
        <v>5100</v>
      </c>
      <c r="E301">
        <v>255</v>
      </c>
      <c r="F301">
        <v>1150</v>
      </c>
      <c r="G301">
        <v>5700</v>
      </c>
      <c r="H301">
        <f>Table1[[#This Row],[Gross_Revenue]]-Table1[[#This Row],[Refunds]]</f>
        <v>4845</v>
      </c>
      <c r="I301">
        <f>Table1[[#This Row],[Net_Revenue]]/Table1[[#This Row],[Marketing_Spend]]</f>
        <v>4.2130434782608699</v>
      </c>
      <c r="J301">
        <f>Table1[[#This Row],[Marketing_Spend]]/Table1[[#This Row],[Web_Traffic]]</f>
        <v>0.20175438596491227</v>
      </c>
      <c r="K301" t="str">
        <f>TEXT(Table1[[#This Row],[Date]],"mmm")</f>
        <v>Mar</v>
      </c>
    </row>
    <row r="302" spans="1:11" x14ac:dyDescent="0.35">
      <c r="A302" s="1">
        <v>45768</v>
      </c>
      <c r="B302" t="s">
        <v>9</v>
      </c>
      <c r="C302" t="s">
        <v>10</v>
      </c>
      <c r="D302">
        <v>5100</v>
      </c>
      <c r="E302">
        <v>255</v>
      </c>
      <c r="F302">
        <v>1280</v>
      </c>
      <c r="G302">
        <v>6500</v>
      </c>
      <c r="H302">
        <f>Table1[[#This Row],[Gross_Revenue]]-Table1[[#This Row],[Refunds]]</f>
        <v>4845</v>
      </c>
      <c r="I302">
        <f>Table1[[#This Row],[Net_Revenue]]/Table1[[#This Row],[Marketing_Spend]]</f>
        <v>3.78515625</v>
      </c>
      <c r="J302">
        <f>Table1[[#This Row],[Marketing_Spend]]/Table1[[#This Row],[Web_Traffic]]</f>
        <v>0.19692307692307692</v>
      </c>
      <c r="K302" t="str">
        <f>TEXT(Table1[[#This Row],[Date]],"mmm")</f>
        <v>Apr</v>
      </c>
    </row>
    <row r="303" spans="1:11" x14ac:dyDescent="0.35">
      <c r="A303" s="1">
        <v>45772</v>
      </c>
      <c r="B303" t="s">
        <v>7</v>
      </c>
      <c r="C303" t="s">
        <v>8</v>
      </c>
      <c r="D303">
        <v>5100</v>
      </c>
      <c r="E303">
        <v>255</v>
      </c>
      <c r="F303">
        <v>900</v>
      </c>
      <c r="G303">
        <v>5100</v>
      </c>
      <c r="H303">
        <f>Table1[[#This Row],[Gross_Revenue]]-Table1[[#This Row],[Refunds]]</f>
        <v>4845</v>
      </c>
      <c r="I303">
        <f>Table1[[#This Row],[Net_Revenue]]/Table1[[#This Row],[Marketing_Spend]]</f>
        <v>5.3833333333333337</v>
      </c>
      <c r="J303">
        <f>Table1[[#This Row],[Marketing_Spend]]/Table1[[#This Row],[Web_Traffic]]</f>
        <v>0.17647058823529413</v>
      </c>
      <c r="K303" t="str">
        <f>TEXT(Table1[[#This Row],[Date]],"mmm")</f>
        <v>Apr</v>
      </c>
    </row>
    <row r="304" spans="1:11" x14ac:dyDescent="0.35">
      <c r="A304" s="1">
        <v>45786</v>
      </c>
      <c r="B304" t="s">
        <v>7</v>
      </c>
      <c r="C304" t="s">
        <v>8</v>
      </c>
      <c r="D304">
        <v>5100</v>
      </c>
      <c r="E304">
        <v>255</v>
      </c>
      <c r="F304">
        <v>880</v>
      </c>
      <c r="G304">
        <v>5100</v>
      </c>
      <c r="H304">
        <f>Table1[[#This Row],[Gross_Revenue]]-Table1[[#This Row],[Refunds]]</f>
        <v>4845</v>
      </c>
      <c r="I304">
        <f>Table1[[#This Row],[Net_Revenue]]/Table1[[#This Row],[Marketing_Spend]]</f>
        <v>5.5056818181818183</v>
      </c>
      <c r="J304">
        <f>Table1[[#This Row],[Marketing_Spend]]/Table1[[#This Row],[Web_Traffic]]</f>
        <v>0.17254901960784313</v>
      </c>
      <c r="K304" t="str">
        <f>TEXT(Table1[[#This Row],[Date]],"mmm")</f>
        <v>May</v>
      </c>
    </row>
    <row r="305" spans="1:11" x14ac:dyDescent="0.35">
      <c r="A305" s="1">
        <v>45794</v>
      </c>
      <c r="B305" t="s">
        <v>9</v>
      </c>
      <c r="C305" t="s">
        <v>10</v>
      </c>
      <c r="D305">
        <v>5100</v>
      </c>
      <c r="E305">
        <v>255</v>
      </c>
      <c r="F305">
        <v>1260</v>
      </c>
      <c r="G305">
        <v>6500</v>
      </c>
      <c r="H305">
        <f>Table1[[#This Row],[Gross_Revenue]]-Table1[[#This Row],[Refunds]]</f>
        <v>4845</v>
      </c>
      <c r="I305">
        <f>Table1[[#This Row],[Net_Revenue]]/Table1[[#This Row],[Marketing_Spend]]</f>
        <v>3.8452380952380953</v>
      </c>
      <c r="J305">
        <f>Table1[[#This Row],[Marketing_Spend]]/Table1[[#This Row],[Web_Traffic]]</f>
        <v>0.19384615384615383</v>
      </c>
      <c r="K305" t="str">
        <f>TEXT(Table1[[#This Row],[Date]],"mmm")</f>
        <v>May</v>
      </c>
    </row>
    <row r="306" spans="1:11" x14ac:dyDescent="0.35">
      <c r="A306" s="1">
        <v>45824</v>
      </c>
      <c r="B306" t="s">
        <v>7</v>
      </c>
      <c r="C306" t="s">
        <v>8</v>
      </c>
      <c r="D306">
        <v>5100</v>
      </c>
      <c r="E306">
        <v>4700</v>
      </c>
      <c r="F306">
        <v>650</v>
      </c>
      <c r="G306">
        <v>4400</v>
      </c>
      <c r="H306">
        <f>Table1[[#This Row],[Gross_Revenue]]-Table1[[#This Row],[Refunds]]</f>
        <v>400</v>
      </c>
      <c r="I306">
        <f>Table1[[#This Row],[Net_Revenue]]/Table1[[#This Row],[Marketing_Spend]]</f>
        <v>0.61538461538461542</v>
      </c>
      <c r="J306">
        <f>Table1[[#This Row],[Marketing_Spend]]/Table1[[#This Row],[Web_Traffic]]</f>
        <v>0.14772727272727273</v>
      </c>
      <c r="K306" t="str">
        <f>TEXT(Table1[[#This Row],[Date]],"mmm")</f>
        <v>Jun</v>
      </c>
    </row>
    <row r="307" spans="1:11" x14ac:dyDescent="0.35">
      <c r="A307" s="1">
        <v>45827</v>
      </c>
      <c r="B307" t="s">
        <v>7</v>
      </c>
      <c r="C307" t="s">
        <v>8</v>
      </c>
      <c r="D307">
        <v>5100</v>
      </c>
      <c r="E307">
        <v>4700</v>
      </c>
      <c r="F307">
        <v>650</v>
      </c>
      <c r="G307">
        <v>4400</v>
      </c>
      <c r="H307">
        <f>Table1[[#This Row],[Gross_Revenue]]-Table1[[#This Row],[Refunds]]</f>
        <v>400</v>
      </c>
      <c r="I307">
        <f>Table1[[#This Row],[Net_Revenue]]/Table1[[#This Row],[Marketing_Spend]]</f>
        <v>0.61538461538461542</v>
      </c>
      <c r="J307">
        <f>Table1[[#This Row],[Marketing_Spend]]/Table1[[#This Row],[Web_Traffic]]</f>
        <v>0.14772727272727273</v>
      </c>
      <c r="K307" t="str">
        <f>TEXT(Table1[[#This Row],[Date]],"mmm")</f>
        <v>Jun</v>
      </c>
    </row>
    <row r="308" spans="1:11" x14ac:dyDescent="0.35">
      <c r="A308" s="1">
        <v>45839</v>
      </c>
      <c r="B308" t="s">
        <v>9</v>
      </c>
      <c r="C308" t="s">
        <v>10</v>
      </c>
      <c r="D308">
        <v>5100</v>
      </c>
      <c r="E308">
        <v>255</v>
      </c>
      <c r="F308">
        <v>1200</v>
      </c>
      <c r="G308">
        <v>6500</v>
      </c>
      <c r="H308">
        <f>Table1[[#This Row],[Gross_Revenue]]-Table1[[#This Row],[Refunds]]</f>
        <v>4845</v>
      </c>
      <c r="I308">
        <f>Table1[[#This Row],[Net_Revenue]]/Table1[[#This Row],[Marketing_Spend]]</f>
        <v>4.0374999999999996</v>
      </c>
      <c r="J308">
        <f>Table1[[#This Row],[Marketing_Spend]]/Table1[[#This Row],[Web_Traffic]]</f>
        <v>0.18461538461538463</v>
      </c>
      <c r="K308" t="str">
        <f>TEXT(Table1[[#This Row],[Date]],"mmm")</f>
        <v>Jul</v>
      </c>
    </row>
    <row r="309" spans="1:11" x14ac:dyDescent="0.35">
      <c r="A309" s="1">
        <v>45720</v>
      </c>
      <c r="B309" t="s">
        <v>7</v>
      </c>
      <c r="C309" t="s">
        <v>8</v>
      </c>
      <c r="D309">
        <v>5050</v>
      </c>
      <c r="E309">
        <v>252</v>
      </c>
      <c r="F309">
        <v>810</v>
      </c>
      <c r="G309">
        <v>4150</v>
      </c>
      <c r="H309">
        <f>Table1[[#This Row],[Gross_Revenue]]-Table1[[#This Row],[Refunds]]</f>
        <v>4798</v>
      </c>
      <c r="I309">
        <f>Table1[[#This Row],[Net_Revenue]]/Table1[[#This Row],[Marketing_Spend]]</f>
        <v>5.9234567901234572</v>
      </c>
      <c r="J309">
        <f>Table1[[#This Row],[Marketing_Spend]]/Table1[[#This Row],[Web_Traffic]]</f>
        <v>0.19518072289156627</v>
      </c>
      <c r="K309" t="str">
        <f>TEXT(Table1[[#This Row],[Date]],"mmm")</f>
        <v>Mar</v>
      </c>
    </row>
    <row r="310" spans="1:11" x14ac:dyDescent="0.35">
      <c r="A310" s="1">
        <v>45728</v>
      </c>
      <c r="B310" t="s">
        <v>9</v>
      </c>
      <c r="C310" t="s">
        <v>10</v>
      </c>
      <c r="D310">
        <v>5050</v>
      </c>
      <c r="E310">
        <v>252</v>
      </c>
      <c r="F310">
        <v>1140</v>
      </c>
      <c r="G310">
        <v>5650</v>
      </c>
      <c r="H310">
        <f>Table1[[#This Row],[Gross_Revenue]]-Table1[[#This Row],[Refunds]]</f>
        <v>4798</v>
      </c>
      <c r="I310">
        <f>Table1[[#This Row],[Net_Revenue]]/Table1[[#This Row],[Marketing_Spend]]</f>
        <v>4.2087719298245618</v>
      </c>
      <c r="J310">
        <f>Table1[[#This Row],[Marketing_Spend]]/Table1[[#This Row],[Web_Traffic]]</f>
        <v>0.20176991150442478</v>
      </c>
      <c r="K310" t="str">
        <f>TEXT(Table1[[#This Row],[Date]],"mmm")</f>
        <v>Mar</v>
      </c>
    </row>
    <row r="311" spans="1:11" x14ac:dyDescent="0.35">
      <c r="A311" s="1">
        <v>45785</v>
      </c>
      <c r="B311" t="s">
        <v>7</v>
      </c>
      <c r="C311" t="s">
        <v>8</v>
      </c>
      <c r="D311">
        <v>5050</v>
      </c>
      <c r="E311">
        <v>252</v>
      </c>
      <c r="F311">
        <v>870</v>
      </c>
      <c r="G311">
        <v>5050</v>
      </c>
      <c r="H311">
        <f>Table1[[#This Row],[Gross_Revenue]]-Table1[[#This Row],[Refunds]]</f>
        <v>4798</v>
      </c>
      <c r="I311">
        <f>Table1[[#This Row],[Net_Revenue]]/Table1[[#This Row],[Marketing_Spend]]</f>
        <v>5.5149425287356326</v>
      </c>
      <c r="J311">
        <f>Table1[[#This Row],[Marketing_Spend]]/Table1[[#This Row],[Web_Traffic]]</f>
        <v>0.17227722772277226</v>
      </c>
      <c r="K311" t="str">
        <f>TEXT(Table1[[#This Row],[Date]],"mmm")</f>
        <v>May</v>
      </c>
    </row>
    <row r="312" spans="1:11" x14ac:dyDescent="0.35">
      <c r="A312" s="1">
        <v>45793</v>
      </c>
      <c r="B312" t="s">
        <v>9</v>
      </c>
      <c r="C312" t="s">
        <v>10</v>
      </c>
      <c r="D312">
        <v>5050</v>
      </c>
      <c r="E312">
        <v>252</v>
      </c>
      <c r="F312">
        <v>1250</v>
      </c>
      <c r="G312">
        <v>6450</v>
      </c>
      <c r="H312">
        <f>Table1[[#This Row],[Gross_Revenue]]-Table1[[#This Row],[Refunds]]</f>
        <v>4798</v>
      </c>
      <c r="I312">
        <f>Table1[[#This Row],[Net_Revenue]]/Table1[[#This Row],[Marketing_Spend]]</f>
        <v>3.8384</v>
      </c>
      <c r="J312">
        <f>Table1[[#This Row],[Marketing_Spend]]/Table1[[#This Row],[Web_Traffic]]</f>
        <v>0.19379844961240311</v>
      </c>
      <c r="K312" t="str">
        <f>TEXT(Table1[[#This Row],[Date]],"mmm")</f>
        <v>May</v>
      </c>
    </row>
    <row r="313" spans="1:11" x14ac:dyDescent="0.35">
      <c r="A313" s="1">
        <v>45719</v>
      </c>
      <c r="B313" t="s">
        <v>7</v>
      </c>
      <c r="C313" t="s">
        <v>8</v>
      </c>
      <c r="D313">
        <v>5000</v>
      </c>
      <c r="E313">
        <v>250</v>
      </c>
      <c r="F313">
        <v>800</v>
      </c>
      <c r="G313">
        <v>4100</v>
      </c>
      <c r="H313">
        <f>Table1[[#This Row],[Gross_Revenue]]-Table1[[#This Row],[Refunds]]</f>
        <v>4750</v>
      </c>
      <c r="I313">
        <f>Table1[[#This Row],[Net_Revenue]]/Table1[[#This Row],[Marketing_Spend]]</f>
        <v>5.9375</v>
      </c>
      <c r="J313">
        <f>Table1[[#This Row],[Marketing_Spend]]/Table1[[#This Row],[Web_Traffic]]</f>
        <v>0.1951219512195122</v>
      </c>
      <c r="K313" t="str">
        <f>TEXT(Table1[[#This Row],[Date]],"mmm")</f>
        <v>Mar</v>
      </c>
    </row>
    <row r="314" spans="1:11" x14ac:dyDescent="0.35">
      <c r="A314" s="1">
        <v>45727</v>
      </c>
      <c r="B314" t="s">
        <v>9</v>
      </c>
      <c r="C314" t="s">
        <v>10</v>
      </c>
      <c r="D314">
        <v>5000</v>
      </c>
      <c r="E314">
        <v>250</v>
      </c>
      <c r="F314">
        <v>1130</v>
      </c>
      <c r="G314">
        <v>5600</v>
      </c>
      <c r="H314">
        <f>Table1[[#This Row],[Gross_Revenue]]-Table1[[#This Row],[Refunds]]</f>
        <v>4750</v>
      </c>
      <c r="I314">
        <f>Table1[[#This Row],[Net_Revenue]]/Table1[[#This Row],[Marketing_Spend]]</f>
        <v>4.2035398230088497</v>
      </c>
      <c r="J314">
        <f>Table1[[#This Row],[Marketing_Spend]]/Table1[[#This Row],[Web_Traffic]]</f>
        <v>0.20178571428571429</v>
      </c>
      <c r="K314" t="str">
        <f>TEXT(Table1[[#This Row],[Date]],"mmm")</f>
        <v>Mar</v>
      </c>
    </row>
    <row r="315" spans="1:11" x14ac:dyDescent="0.35">
      <c r="A315" s="1">
        <v>45769</v>
      </c>
      <c r="B315" t="s">
        <v>9</v>
      </c>
      <c r="C315" t="s">
        <v>10</v>
      </c>
      <c r="D315">
        <v>5000</v>
      </c>
      <c r="E315">
        <v>250</v>
      </c>
      <c r="F315">
        <v>1260</v>
      </c>
      <c r="G315">
        <v>6400</v>
      </c>
      <c r="H315">
        <f>Table1[[#This Row],[Gross_Revenue]]-Table1[[#This Row],[Refunds]]</f>
        <v>4750</v>
      </c>
      <c r="I315">
        <f>Table1[[#This Row],[Net_Revenue]]/Table1[[#This Row],[Marketing_Spend]]</f>
        <v>3.7698412698412698</v>
      </c>
      <c r="J315">
        <f>Table1[[#This Row],[Marketing_Spend]]/Table1[[#This Row],[Web_Traffic]]</f>
        <v>0.19687499999999999</v>
      </c>
      <c r="K315" t="str">
        <f>TEXT(Table1[[#This Row],[Date]],"mmm")</f>
        <v>Apr</v>
      </c>
    </row>
    <row r="316" spans="1:11" x14ac:dyDescent="0.35">
      <c r="A316" s="1">
        <v>45773</v>
      </c>
      <c r="B316" t="s">
        <v>7</v>
      </c>
      <c r="C316" t="s">
        <v>8</v>
      </c>
      <c r="D316">
        <v>5000</v>
      </c>
      <c r="E316">
        <v>250</v>
      </c>
      <c r="F316">
        <v>880</v>
      </c>
      <c r="G316">
        <v>5000</v>
      </c>
      <c r="H316">
        <f>Table1[[#This Row],[Gross_Revenue]]-Table1[[#This Row],[Refunds]]</f>
        <v>4750</v>
      </c>
      <c r="I316">
        <f>Table1[[#This Row],[Net_Revenue]]/Table1[[#This Row],[Marketing_Spend]]</f>
        <v>5.3977272727272725</v>
      </c>
      <c r="J316">
        <f>Table1[[#This Row],[Marketing_Spend]]/Table1[[#This Row],[Web_Traffic]]</f>
        <v>0.17599999999999999</v>
      </c>
      <c r="K316" t="str">
        <f>TEXT(Table1[[#This Row],[Date]],"mmm")</f>
        <v>Apr</v>
      </c>
    </row>
    <row r="317" spans="1:11" x14ac:dyDescent="0.35">
      <c r="A317" s="1">
        <v>45784</v>
      </c>
      <c r="B317" t="s">
        <v>7</v>
      </c>
      <c r="C317" t="s">
        <v>8</v>
      </c>
      <c r="D317">
        <v>5000</v>
      </c>
      <c r="E317">
        <v>250</v>
      </c>
      <c r="F317">
        <v>860</v>
      </c>
      <c r="G317">
        <v>5000</v>
      </c>
      <c r="H317">
        <f>Table1[[#This Row],[Gross_Revenue]]-Table1[[#This Row],[Refunds]]</f>
        <v>4750</v>
      </c>
      <c r="I317">
        <f>Table1[[#This Row],[Net_Revenue]]/Table1[[#This Row],[Marketing_Spend]]</f>
        <v>5.5232558139534884</v>
      </c>
      <c r="J317">
        <f>Table1[[#This Row],[Marketing_Spend]]/Table1[[#This Row],[Web_Traffic]]</f>
        <v>0.17199999999999999</v>
      </c>
      <c r="K317" t="str">
        <f>TEXT(Table1[[#This Row],[Date]],"mmm")</f>
        <v>May</v>
      </c>
    </row>
    <row r="318" spans="1:11" x14ac:dyDescent="0.35">
      <c r="A318" s="1">
        <v>45792</v>
      </c>
      <c r="B318" t="s">
        <v>9</v>
      </c>
      <c r="C318" t="s">
        <v>10</v>
      </c>
      <c r="D318">
        <v>5000</v>
      </c>
      <c r="E318">
        <v>250</v>
      </c>
      <c r="F318">
        <v>1240</v>
      </c>
      <c r="G318">
        <v>6400</v>
      </c>
      <c r="H318">
        <f>Table1[[#This Row],[Gross_Revenue]]-Table1[[#This Row],[Refunds]]</f>
        <v>4750</v>
      </c>
      <c r="I318">
        <f>Table1[[#This Row],[Net_Revenue]]/Table1[[#This Row],[Marketing_Spend]]</f>
        <v>3.8306451612903225</v>
      </c>
      <c r="J318">
        <f>Table1[[#This Row],[Marketing_Spend]]/Table1[[#This Row],[Web_Traffic]]</f>
        <v>0.19375000000000001</v>
      </c>
      <c r="K318" t="str">
        <f>TEXT(Table1[[#This Row],[Date]],"mmm")</f>
        <v>May</v>
      </c>
    </row>
    <row r="319" spans="1:11" x14ac:dyDescent="0.35">
      <c r="A319" s="1">
        <v>45825</v>
      </c>
      <c r="B319" t="s">
        <v>9</v>
      </c>
      <c r="C319" t="s">
        <v>10</v>
      </c>
      <c r="D319">
        <v>5000</v>
      </c>
      <c r="E319">
        <v>4300</v>
      </c>
      <c r="F319">
        <v>920</v>
      </c>
      <c r="G319">
        <v>5300</v>
      </c>
      <c r="H319">
        <f>Table1[[#This Row],[Gross_Revenue]]-Table1[[#This Row],[Refunds]]</f>
        <v>700</v>
      </c>
      <c r="I319">
        <f>Table1[[#This Row],[Net_Revenue]]/Table1[[#This Row],[Marketing_Spend]]</f>
        <v>0.76086956521739135</v>
      </c>
      <c r="J319">
        <f>Table1[[#This Row],[Marketing_Spend]]/Table1[[#This Row],[Web_Traffic]]</f>
        <v>0.17358490566037735</v>
      </c>
      <c r="K319" t="str">
        <f>TEXT(Table1[[#This Row],[Date]],"mmm")</f>
        <v>Jun</v>
      </c>
    </row>
    <row r="320" spans="1:11" x14ac:dyDescent="0.35">
      <c r="A320" s="1">
        <v>45828</v>
      </c>
      <c r="B320" t="s">
        <v>9</v>
      </c>
      <c r="C320" t="s">
        <v>10</v>
      </c>
      <c r="D320">
        <v>5000</v>
      </c>
      <c r="E320">
        <v>4300</v>
      </c>
      <c r="F320">
        <v>920</v>
      </c>
      <c r="G320">
        <v>5300</v>
      </c>
      <c r="H320">
        <f>Table1[[#This Row],[Gross_Revenue]]-Table1[[#This Row],[Refunds]]</f>
        <v>700</v>
      </c>
      <c r="I320">
        <f>Table1[[#This Row],[Net_Revenue]]/Table1[[#This Row],[Marketing_Spend]]</f>
        <v>0.76086956521739135</v>
      </c>
      <c r="J320">
        <f>Table1[[#This Row],[Marketing_Spend]]/Table1[[#This Row],[Web_Traffic]]</f>
        <v>0.17358490566037735</v>
      </c>
      <c r="K320" t="str">
        <f>TEXT(Table1[[#This Row],[Date]],"mmm")</f>
        <v>Jun</v>
      </c>
    </row>
    <row r="321" spans="1:11" x14ac:dyDescent="0.35">
      <c r="A321" s="1">
        <v>45718</v>
      </c>
      <c r="B321" t="s">
        <v>7</v>
      </c>
      <c r="C321" t="s">
        <v>8</v>
      </c>
      <c r="D321">
        <v>4950</v>
      </c>
      <c r="E321">
        <v>247</v>
      </c>
      <c r="F321">
        <v>790</v>
      </c>
      <c r="G321">
        <v>4050</v>
      </c>
      <c r="H321">
        <f>Table1[[#This Row],[Gross_Revenue]]-Table1[[#This Row],[Refunds]]</f>
        <v>4703</v>
      </c>
      <c r="I321">
        <f>Table1[[#This Row],[Net_Revenue]]/Table1[[#This Row],[Marketing_Spend]]</f>
        <v>5.9531645569620251</v>
      </c>
      <c r="J321">
        <f>Table1[[#This Row],[Marketing_Spend]]/Table1[[#This Row],[Web_Traffic]]</f>
        <v>0.19506172839506172</v>
      </c>
      <c r="K321" t="str">
        <f>TEXT(Table1[[#This Row],[Date]],"mmm")</f>
        <v>Mar</v>
      </c>
    </row>
    <row r="322" spans="1:11" x14ac:dyDescent="0.35">
      <c r="A322" s="1">
        <v>45726</v>
      </c>
      <c r="B322" t="s">
        <v>9</v>
      </c>
      <c r="C322" t="s">
        <v>10</v>
      </c>
      <c r="D322">
        <v>4950</v>
      </c>
      <c r="E322">
        <v>247</v>
      </c>
      <c r="F322">
        <v>1120</v>
      </c>
      <c r="G322">
        <v>5550</v>
      </c>
      <c r="H322">
        <f>Table1[[#This Row],[Gross_Revenue]]-Table1[[#This Row],[Refunds]]</f>
        <v>4703</v>
      </c>
      <c r="I322">
        <f>Table1[[#This Row],[Net_Revenue]]/Table1[[#This Row],[Marketing_Spend]]</f>
        <v>4.1991071428571427</v>
      </c>
      <c r="J322">
        <f>Table1[[#This Row],[Marketing_Spend]]/Table1[[#This Row],[Web_Traffic]]</f>
        <v>0.20180180180180179</v>
      </c>
      <c r="K322" t="str">
        <f>TEXT(Table1[[#This Row],[Date]],"mmm")</f>
        <v>Mar</v>
      </c>
    </row>
    <row r="323" spans="1:11" x14ac:dyDescent="0.35">
      <c r="A323" s="1">
        <v>45783</v>
      </c>
      <c r="B323" t="s">
        <v>7</v>
      </c>
      <c r="C323" t="s">
        <v>8</v>
      </c>
      <c r="D323">
        <v>4950</v>
      </c>
      <c r="E323">
        <v>247</v>
      </c>
      <c r="F323">
        <v>850</v>
      </c>
      <c r="G323">
        <v>4950</v>
      </c>
      <c r="H323">
        <f>Table1[[#This Row],[Gross_Revenue]]-Table1[[#This Row],[Refunds]]</f>
        <v>4703</v>
      </c>
      <c r="I323">
        <f>Table1[[#This Row],[Net_Revenue]]/Table1[[#This Row],[Marketing_Spend]]</f>
        <v>5.5329411764705885</v>
      </c>
      <c r="J323">
        <f>Table1[[#This Row],[Marketing_Spend]]/Table1[[#This Row],[Web_Traffic]]</f>
        <v>0.17171717171717171</v>
      </c>
      <c r="K323" t="str">
        <f>TEXT(Table1[[#This Row],[Date]],"mmm")</f>
        <v>May</v>
      </c>
    </row>
    <row r="324" spans="1:11" x14ac:dyDescent="0.35">
      <c r="A324" s="1">
        <v>45791</v>
      </c>
      <c r="B324" t="s">
        <v>9</v>
      </c>
      <c r="C324" t="s">
        <v>10</v>
      </c>
      <c r="D324">
        <v>4950</v>
      </c>
      <c r="E324">
        <v>247</v>
      </c>
      <c r="F324">
        <v>1230</v>
      </c>
      <c r="G324">
        <v>6350</v>
      </c>
      <c r="H324">
        <f>Table1[[#This Row],[Gross_Revenue]]-Table1[[#This Row],[Refunds]]</f>
        <v>4703</v>
      </c>
      <c r="I324">
        <f>Table1[[#This Row],[Net_Revenue]]/Table1[[#This Row],[Marketing_Spend]]</f>
        <v>3.8235772357723579</v>
      </c>
      <c r="J324">
        <f>Table1[[#This Row],[Marketing_Spend]]/Table1[[#This Row],[Web_Traffic]]</f>
        <v>0.19370078740157481</v>
      </c>
      <c r="K324" t="str">
        <f>TEXT(Table1[[#This Row],[Date]],"mmm")</f>
        <v>May</v>
      </c>
    </row>
    <row r="325" spans="1:11" x14ac:dyDescent="0.35">
      <c r="A325" s="1">
        <v>45717</v>
      </c>
      <c r="B325" t="s">
        <v>7</v>
      </c>
      <c r="C325" t="s">
        <v>8</v>
      </c>
      <c r="D325">
        <v>4900</v>
      </c>
      <c r="E325">
        <v>245</v>
      </c>
      <c r="F325">
        <v>780</v>
      </c>
      <c r="G325">
        <v>4000</v>
      </c>
      <c r="H325">
        <f>Table1[[#This Row],[Gross_Revenue]]-Table1[[#This Row],[Refunds]]</f>
        <v>4655</v>
      </c>
      <c r="I325">
        <f>Table1[[#This Row],[Net_Revenue]]/Table1[[#This Row],[Marketing_Spend]]</f>
        <v>5.9679487179487181</v>
      </c>
      <c r="J325">
        <f>Table1[[#This Row],[Marketing_Spend]]/Table1[[#This Row],[Web_Traffic]]</f>
        <v>0.19500000000000001</v>
      </c>
      <c r="K325" t="str">
        <f>TEXT(Table1[[#This Row],[Date]],"mmm")</f>
        <v>Mar</v>
      </c>
    </row>
    <row r="326" spans="1:11" x14ac:dyDescent="0.35">
      <c r="A326" s="1">
        <v>45725</v>
      </c>
      <c r="B326" t="s">
        <v>9</v>
      </c>
      <c r="C326" t="s">
        <v>10</v>
      </c>
      <c r="D326">
        <v>4900</v>
      </c>
      <c r="E326">
        <v>245</v>
      </c>
      <c r="F326">
        <v>1110</v>
      </c>
      <c r="G326">
        <v>5500</v>
      </c>
      <c r="H326">
        <f>Table1[[#This Row],[Gross_Revenue]]-Table1[[#This Row],[Refunds]]</f>
        <v>4655</v>
      </c>
      <c r="I326">
        <f>Table1[[#This Row],[Net_Revenue]]/Table1[[#This Row],[Marketing_Spend]]</f>
        <v>4.1936936936936933</v>
      </c>
      <c r="J326">
        <f>Table1[[#This Row],[Marketing_Spend]]/Table1[[#This Row],[Web_Traffic]]</f>
        <v>0.20181818181818181</v>
      </c>
      <c r="K326" t="str">
        <f>TEXT(Table1[[#This Row],[Date]],"mmm")</f>
        <v>Mar</v>
      </c>
    </row>
    <row r="327" spans="1:11" x14ac:dyDescent="0.35">
      <c r="A327" s="1">
        <v>45770</v>
      </c>
      <c r="B327" t="s">
        <v>9</v>
      </c>
      <c r="C327" t="s">
        <v>10</v>
      </c>
      <c r="D327">
        <v>4900</v>
      </c>
      <c r="E327">
        <v>245</v>
      </c>
      <c r="F327">
        <v>1240</v>
      </c>
      <c r="G327">
        <v>6300</v>
      </c>
      <c r="H327">
        <f>Table1[[#This Row],[Gross_Revenue]]-Table1[[#This Row],[Refunds]]</f>
        <v>4655</v>
      </c>
      <c r="I327">
        <f>Table1[[#This Row],[Net_Revenue]]/Table1[[#This Row],[Marketing_Spend]]</f>
        <v>3.754032258064516</v>
      </c>
      <c r="J327">
        <f>Table1[[#This Row],[Marketing_Spend]]/Table1[[#This Row],[Web_Traffic]]</f>
        <v>0.19682539682539682</v>
      </c>
      <c r="K327" t="str">
        <f>TEXT(Table1[[#This Row],[Date]],"mmm")</f>
        <v>Apr</v>
      </c>
    </row>
    <row r="328" spans="1:11" x14ac:dyDescent="0.35">
      <c r="A328" s="1">
        <v>45774</v>
      </c>
      <c r="B328" t="s">
        <v>7</v>
      </c>
      <c r="C328" t="s">
        <v>8</v>
      </c>
      <c r="D328">
        <v>4900</v>
      </c>
      <c r="E328">
        <v>245</v>
      </c>
      <c r="F328">
        <v>860</v>
      </c>
      <c r="G328">
        <v>4900</v>
      </c>
      <c r="H328">
        <f>Table1[[#This Row],[Gross_Revenue]]-Table1[[#This Row],[Refunds]]</f>
        <v>4655</v>
      </c>
      <c r="I328">
        <f>Table1[[#This Row],[Net_Revenue]]/Table1[[#This Row],[Marketing_Spend]]</f>
        <v>5.4127906976744189</v>
      </c>
      <c r="J328">
        <f>Table1[[#This Row],[Marketing_Spend]]/Table1[[#This Row],[Web_Traffic]]</f>
        <v>0.17551020408163265</v>
      </c>
      <c r="K328" t="str">
        <f>TEXT(Table1[[#This Row],[Date]],"mmm")</f>
        <v>Apr</v>
      </c>
    </row>
    <row r="329" spans="1:11" x14ac:dyDescent="0.35">
      <c r="A329" s="1">
        <v>45782</v>
      </c>
      <c r="B329" t="s">
        <v>7</v>
      </c>
      <c r="C329" t="s">
        <v>8</v>
      </c>
      <c r="D329">
        <v>4900</v>
      </c>
      <c r="E329">
        <v>245</v>
      </c>
      <c r="F329">
        <v>840</v>
      </c>
      <c r="G329">
        <v>4900</v>
      </c>
      <c r="H329">
        <f>Table1[[#This Row],[Gross_Revenue]]-Table1[[#This Row],[Refunds]]</f>
        <v>4655</v>
      </c>
      <c r="I329">
        <f>Table1[[#This Row],[Net_Revenue]]/Table1[[#This Row],[Marketing_Spend]]</f>
        <v>5.541666666666667</v>
      </c>
      <c r="J329">
        <f>Table1[[#This Row],[Marketing_Spend]]/Table1[[#This Row],[Web_Traffic]]</f>
        <v>0.17142857142857143</v>
      </c>
      <c r="K329" t="str">
        <f>TEXT(Table1[[#This Row],[Date]],"mmm")</f>
        <v>May</v>
      </c>
    </row>
    <row r="330" spans="1:11" x14ac:dyDescent="0.35">
      <c r="A330" s="1">
        <v>45790</v>
      </c>
      <c r="B330" t="s">
        <v>9</v>
      </c>
      <c r="C330" t="s">
        <v>10</v>
      </c>
      <c r="D330">
        <v>4900</v>
      </c>
      <c r="E330">
        <v>245</v>
      </c>
      <c r="F330">
        <v>1220</v>
      </c>
      <c r="G330">
        <v>6300</v>
      </c>
      <c r="H330">
        <f>Table1[[#This Row],[Gross_Revenue]]-Table1[[#This Row],[Refunds]]</f>
        <v>4655</v>
      </c>
      <c r="I330">
        <f>Table1[[#This Row],[Net_Revenue]]/Table1[[#This Row],[Marketing_Spend]]</f>
        <v>3.8155737704918034</v>
      </c>
      <c r="J330">
        <f>Table1[[#This Row],[Marketing_Spend]]/Table1[[#This Row],[Web_Traffic]]</f>
        <v>0.19365079365079366</v>
      </c>
      <c r="K330" t="str">
        <f>TEXT(Table1[[#This Row],[Date]],"mmm")</f>
        <v>May</v>
      </c>
    </row>
    <row r="331" spans="1:11" x14ac:dyDescent="0.35">
      <c r="A331" s="1">
        <v>45823</v>
      </c>
      <c r="B331" t="s">
        <v>9</v>
      </c>
      <c r="C331" t="s">
        <v>10</v>
      </c>
      <c r="D331">
        <v>4900</v>
      </c>
      <c r="E331">
        <v>4200</v>
      </c>
      <c r="F331">
        <v>900</v>
      </c>
      <c r="G331">
        <v>5200</v>
      </c>
      <c r="H331">
        <f>Table1[[#This Row],[Gross_Revenue]]-Table1[[#This Row],[Refunds]]</f>
        <v>700</v>
      </c>
      <c r="I331">
        <f>Table1[[#This Row],[Net_Revenue]]/Table1[[#This Row],[Marketing_Spend]]</f>
        <v>0.77777777777777779</v>
      </c>
      <c r="J331">
        <f>Table1[[#This Row],[Marketing_Spend]]/Table1[[#This Row],[Web_Traffic]]</f>
        <v>0.17307692307692307</v>
      </c>
      <c r="K331" t="str">
        <f>TEXT(Table1[[#This Row],[Date]],"mmm")</f>
        <v>Jun</v>
      </c>
    </row>
    <row r="332" spans="1:11" x14ac:dyDescent="0.35">
      <c r="A332" s="1">
        <v>45826</v>
      </c>
      <c r="B332" t="s">
        <v>9</v>
      </c>
      <c r="C332" t="s">
        <v>10</v>
      </c>
      <c r="D332">
        <v>4900</v>
      </c>
      <c r="E332">
        <v>4200</v>
      </c>
      <c r="F332">
        <v>900</v>
      </c>
      <c r="G332">
        <v>5200</v>
      </c>
      <c r="H332">
        <f>Table1[[#This Row],[Gross_Revenue]]-Table1[[#This Row],[Refunds]]</f>
        <v>700</v>
      </c>
      <c r="I332">
        <f>Table1[[#This Row],[Net_Revenue]]/Table1[[#This Row],[Marketing_Spend]]</f>
        <v>0.77777777777777779</v>
      </c>
      <c r="J332">
        <f>Table1[[#This Row],[Marketing_Spend]]/Table1[[#This Row],[Web_Traffic]]</f>
        <v>0.17307692307692307</v>
      </c>
      <c r="K332" t="str">
        <f>TEXT(Table1[[#This Row],[Date]],"mmm")</f>
        <v>Jun</v>
      </c>
    </row>
    <row r="333" spans="1:11" x14ac:dyDescent="0.35">
      <c r="A333" s="1">
        <v>45829</v>
      </c>
      <c r="B333" t="s">
        <v>9</v>
      </c>
      <c r="C333" t="s">
        <v>10</v>
      </c>
      <c r="D333">
        <v>4900</v>
      </c>
      <c r="E333">
        <v>4200</v>
      </c>
      <c r="F333">
        <v>900</v>
      </c>
      <c r="G333">
        <v>5200</v>
      </c>
      <c r="H333">
        <f>Table1[[#This Row],[Gross_Revenue]]-Table1[[#This Row],[Refunds]]</f>
        <v>700</v>
      </c>
      <c r="I333">
        <f>Table1[[#This Row],[Net_Revenue]]/Table1[[#This Row],[Marketing_Spend]]</f>
        <v>0.77777777777777779</v>
      </c>
      <c r="J333">
        <f>Table1[[#This Row],[Marketing_Spend]]/Table1[[#This Row],[Web_Traffic]]</f>
        <v>0.17307692307692307</v>
      </c>
      <c r="K333" t="str">
        <f>TEXT(Table1[[#This Row],[Date]],"mmm")</f>
        <v>Jun</v>
      </c>
    </row>
    <row r="334" spans="1:11" x14ac:dyDescent="0.35">
      <c r="A334" s="1">
        <v>45716</v>
      </c>
      <c r="B334" t="s">
        <v>7</v>
      </c>
      <c r="C334" t="s">
        <v>8</v>
      </c>
      <c r="D334">
        <v>4850</v>
      </c>
      <c r="E334">
        <v>242</v>
      </c>
      <c r="F334">
        <v>770</v>
      </c>
      <c r="G334">
        <v>3950</v>
      </c>
      <c r="H334">
        <f>Table1[[#This Row],[Gross_Revenue]]-Table1[[#This Row],[Refunds]]</f>
        <v>4608</v>
      </c>
      <c r="I334">
        <f>Table1[[#This Row],[Net_Revenue]]/Table1[[#This Row],[Marketing_Spend]]</f>
        <v>5.9844155844155846</v>
      </c>
      <c r="J334">
        <f>Table1[[#This Row],[Marketing_Spend]]/Table1[[#This Row],[Web_Traffic]]</f>
        <v>0.19493670886075951</v>
      </c>
      <c r="K334" t="str">
        <f>TEXT(Table1[[#This Row],[Date]],"mmm")</f>
        <v>Feb</v>
      </c>
    </row>
    <row r="335" spans="1:11" x14ac:dyDescent="0.35">
      <c r="A335" s="1">
        <v>45724</v>
      </c>
      <c r="B335" t="s">
        <v>9</v>
      </c>
      <c r="C335" t="s">
        <v>10</v>
      </c>
      <c r="D335">
        <v>4850</v>
      </c>
      <c r="E335">
        <v>242</v>
      </c>
      <c r="F335">
        <v>1100</v>
      </c>
      <c r="G335">
        <v>5450</v>
      </c>
      <c r="H335">
        <f>Table1[[#This Row],[Gross_Revenue]]-Table1[[#This Row],[Refunds]]</f>
        <v>4608</v>
      </c>
      <c r="I335">
        <f>Table1[[#This Row],[Net_Revenue]]/Table1[[#This Row],[Marketing_Spend]]</f>
        <v>4.1890909090909094</v>
      </c>
      <c r="J335">
        <f>Table1[[#This Row],[Marketing_Spend]]/Table1[[#This Row],[Web_Traffic]]</f>
        <v>0.20183486238532111</v>
      </c>
      <c r="K335" t="str">
        <f>TEXT(Table1[[#This Row],[Date]],"mmm")</f>
        <v>Mar</v>
      </c>
    </row>
    <row r="336" spans="1:11" x14ac:dyDescent="0.35">
      <c r="A336" s="1">
        <v>45781</v>
      </c>
      <c r="B336" t="s">
        <v>7</v>
      </c>
      <c r="C336" t="s">
        <v>8</v>
      </c>
      <c r="D336">
        <v>4850</v>
      </c>
      <c r="E336">
        <v>242</v>
      </c>
      <c r="F336">
        <v>830</v>
      </c>
      <c r="G336">
        <v>4850</v>
      </c>
      <c r="H336">
        <f>Table1[[#This Row],[Gross_Revenue]]-Table1[[#This Row],[Refunds]]</f>
        <v>4608</v>
      </c>
      <c r="I336">
        <f>Table1[[#This Row],[Net_Revenue]]/Table1[[#This Row],[Marketing_Spend]]</f>
        <v>5.5518072289156626</v>
      </c>
      <c r="J336">
        <f>Table1[[#This Row],[Marketing_Spend]]/Table1[[#This Row],[Web_Traffic]]</f>
        <v>0.1711340206185567</v>
      </c>
      <c r="K336" t="str">
        <f>TEXT(Table1[[#This Row],[Date]],"mmm")</f>
        <v>May</v>
      </c>
    </row>
    <row r="337" spans="1:11" x14ac:dyDescent="0.35">
      <c r="A337" s="1">
        <v>45789</v>
      </c>
      <c r="B337" t="s">
        <v>9</v>
      </c>
      <c r="C337" t="s">
        <v>10</v>
      </c>
      <c r="D337">
        <v>4850</v>
      </c>
      <c r="E337">
        <v>242</v>
      </c>
      <c r="F337">
        <v>1210</v>
      </c>
      <c r="G337">
        <v>6250</v>
      </c>
      <c r="H337">
        <f>Table1[[#This Row],[Gross_Revenue]]-Table1[[#This Row],[Refunds]]</f>
        <v>4608</v>
      </c>
      <c r="I337">
        <f>Table1[[#This Row],[Net_Revenue]]/Table1[[#This Row],[Marketing_Spend]]</f>
        <v>3.8082644628099174</v>
      </c>
      <c r="J337">
        <f>Table1[[#This Row],[Marketing_Spend]]/Table1[[#This Row],[Web_Traffic]]</f>
        <v>0.19359999999999999</v>
      </c>
      <c r="K337" t="str">
        <f>TEXT(Table1[[#This Row],[Date]],"mmm")</f>
        <v>May</v>
      </c>
    </row>
    <row r="338" spans="1:11" x14ac:dyDescent="0.35">
      <c r="A338" s="1">
        <v>45715</v>
      </c>
      <c r="B338" t="s">
        <v>7</v>
      </c>
      <c r="C338" t="s">
        <v>8</v>
      </c>
      <c r="D338">
        <v>4800</v>
      </c>
      <c r="E338">
        <v>240</v>
      </c>
      <c r="F338">
        <v>760</v>
      </c>
      <c r="G338">
        <v>3900</v>
      </c>
      <c r="H338">
        <f>Table1[[#This Row],[Gross_Revenue]]-Table1[[#This Row],[Refunds]]</f>
        <v>4560</v>
      </c>
      <c r="I338">
        <f>Table1[[#This Row],[Net_Revenue]]/Table1[[#This Row],[Marketing_Spend]]</f>
        <v>6</v>
      </c>
      <c r="J338">
        <f>Table1[[#This Row],[Marketing_Spend]]/Table1[[#This Row],[Web_Traffic]]</f>
        <v>0.19487179487179487</v>
      </c>
      <c r="K338" t="str">
        <f>TEXT(Table1[[#This Row],[Date]],"mmm")</f>
        <v>Feb</v>
      </c>
    </row>
    <row r="339" spans="1:11" x14ac:dyDescent="0.35">
      <c r="A339" s="1">
        <v>45723</v>
      </c>
      <c r="B339" t="s">
        <v>9</v>
      </c>
      <c r="C339" t="s">
        <v>10</v>
      </c>
      <c r="D339">
        <v>4800</v>
      </c>
      <c r="E339">
        <v>240</v>
      </c>
      <c r="F339">
        <v>1090</v>
      </c>
      <c r="G339">
        <v>5400</v>
      </c>
      <c r="H339">
        <f>Table1[[#This Row],[Gross_Revenue]]-Table1[[#This Row],[Refunds]]</f>
        <v>4560</v>
      </c>
      <c r="I339">
        <f>Table1[[#This Row],[Net_Revenue]]/Table1[[#This Row],[Marketing_Spend]]</f>
        <v>4.1834862385321099</v>
      </c>
      <c r="J339">
        <f>Table1[[#This Row],[Marketing_Spend]]/Table1[[#This Row],[Web_Traffic]]</f>
        <v>0.20185185185185187</v>
      </c>
      <c r="K339" t="str">
        <f>TEXT(Table1[[#This Row],[Date]],"mmm")</f>
        <v>Mar</v>
      </c>
    </row>
    <row r="340" spans="1:11" x14ac:dyDescent="0.35">
      <c r="A340" s="1">
        <v>45771</v>
      </c>
      <c r="B340" t="s">
        <v>9</v>
      </c>
      <c r="C340" t="s">
        <v>10</v>
      </c>
      <c r="D340">
        <v>4800</v>
      </c>
      <c r="E340">
        <v>240</v>
      </c>
      <c r="F340">
        <v>1220</v>
      </c>
      <c r="G340">
        <v>6200</v>
      </c>
      <c r="H340">
        <f>Table1[[#This Row],[Gross_Revenue]]-Table1[[#This Row],[Refunds]]</f>
        <v>4560</v>
      </c>
      <c r="I340">
        <f>Table1[[#This Row],[Net_Revenue]]/Table1[[#This Row],[Marketing_Spend]]</f>
        <v>3.737704918032787</v>
      </c>
      <c r="J340">
        <f>Table1[[#This Row],[Marketing_Spend]]/Table1[[#This Row],[Web_Traffic]]</f>
        <v>0.1967741935483871</v>
      </c>
      <c r="K340" t="str">
        <f>TEXT(Table1[[#This Row],[Date]],"mmm")</f>
        <v>Apr</v>
      </c>
    </row>
    <row r="341" spans="1:11" x14ac:dyDescent="0.35">
      <c r="A341" s="1">
        <v>45775</v>
      </c>
      <c r="B341" t="s">
        <v>7</v>
      </c>
      <c r="C341" t="s">
        <v>8</v>
      </c>
      <c r="D341">
        <v>4800</v>
      </c>
      <c r="E341">
        <v>240</v>
      </c>
      <c r="F341">
        <v>840</v>
      </c>
      <c r="G341">
        <v>4800</v>
      </c>
      <c r="H341">
        <f>Table1[[#This Row],[Gross_Revenue]]-Table1[[#This Row],[Refunds]]</f>
        <v>4560</v>
      </c>
      <c r="I341">
        <f>Table1[[#This Row],[Net_Revenue]]/Table1[[#This Row],[Marketing_Spend]]</f>
        <v>5.4285714285714288</v>
      </c>
      <c r="J341">
        <f>Table1[[#This Row],[Marketing_Spend]]/Table1[[#This Row],[Web_Traffic]]</f>
        <v>0.17499999999999999</v>
      </c>
      <c r="K341" t="str">
        <f>TEXT(Table1[[#This Row],[Date]],"mmm")</f>
        <v>Apr</v>
      </c>
    </row>
    <row r="342" spans="1:11" x14ac:dyDescent="0.35">
      <c r="A342" s="1">
        <v>45780</v>
      </c>
      <c r="B342" t="s">
        <v>7</v>
      </c>
      <c r="C342" t="s">
        <v>8</v>
      </c>
      <c r="D342">
        <v>4800</v>
      </c>
      <c r="E342">
        <v>240</v>
      </c>
      <c r="F342">
        <v>820</v>
      </c>
      <c r="G342">
        <v>4800</v>
      </c>
      <c r="H342">
        <f>Table1[[#This Row],[Gross_Revenue]]-Table1[[#This Row],[Refunds]]</f>
        <v>4560</v>
      </c>
      <c r="I342">
        <f>Table1[[#This Row],[Net_Revenue]]/Table1[[#This Row],[Marketing_Spend]]</f>
        <v>5.5609756097560972</v>
      </c>
      <c r="J342">
        <f>Table1[[#This Row],[Marketing_Spend]]/Table1[[#This Row],[Web_Traffic]]</f>
        <v>0.17083333333333334</v>
      </c>
      <c r="K342" t="str">
        <f>TEXT(Table1[[#This Row],[Date]],"mmm")</f>
        <v>May</v>
      </c>
    </row>
    <row r="343" spans="1:11" x14ac:dyDescent="0.35">
      <c r="A343" s="1">
        <v>45788</v>
      </c>
      <c r="B343" t="s">
        <v>9</v>
      </c>
      <c r="C343" t="s">
        <v>10</v>
      </c>
      <c r="D343">
        <v>4800</v>
      </c>
      <c r="E343">
        <v>240</v>
      </c>
      <c r="F343">
        <v>1200</v>
      </c>
      <c r="G343">
        <v>6200</v>
      </c>
      <c r="H343">
        <f>Table1[[#This Row],[Gross_Revenue]]-Table1[[#This Row],[Refunds]]</f>
        <v>4560</v>
      </c>
      <c r="I343">
        <f>Table1[[#This Row],[Net_Revenue]]/Table1[[#This Row],[Marketing_Spend]]</f>
        <v>3.8</v>
      </c>
      <c r="J343">
        <f>Table1[[#This Row],[Marketing_Spend]]/Table1[[#This Row],[Web_Traffic]]</f>
        <v>0.19354838709677419</v>
      </c>
      <c r="K343" t="str">
        <f>TEXT(Table1[[#This Row],[Date]],"mmm")</f>
        <v>May</v>
      </c>
    </row>
    <row r="344" spans="1:11" x14ac:dyDescent="0.35">
      <c r="A344" s="1">
        <v>45824</v>
      </c>
      <c r="B344" t="s">
        <v>9</v>
      </c>
      <c r="C344" t="s">
        <v>10</v>
      </c>
      <c r="D344">
        <v>4800</v>
      </c>
      <c r="E344">
        <v>4100</v>
      </c>
      <c r="F344">
        <v>850</v>
      </c>
      <c r="G344">
        <v>5100</v>
      </c>
      <c r="H344">
        <f>Table1[[#This Row],[Gross_Revenue]]-Table1[[#This Row],[Refunds]]</f>
        <v>700</v>
      </c>
      <c r="I344">
        <f>Table1[[#This Row],[Net_Revenue]]/Table1[[#This Row],[Marketing_Spend]]</f>
        <v>0.82352941176470584</v>
      </c>
      <c r="J344">
        <f>Table1[[#This Row],[Marketing_Spend]]/Table1[[#This Row],[Web_Traffic]]</f>
        <v>0.16666666666666666</v>
      </c>
      <c r="K344" t="str">
        <f>TEXT(Table1[[#This Row],[Date]],"mmm")</f>
        <v>Jun</v>
      </c>
    </row>
    <row r="345" spans="1:11" x14ac:dyDescent="0.35">
      <c r="A345" s="1">
        <v>45827</v>
      </c>
      <c r="B345" t="s">
        <v>9</v>
      </c>
      <c r="C345" t="s">
        <v>10</v>
      </c>
      <c r="D345">
        <v>4800</v>
      </c>
      <c r="E345">
        <v>4100</v>
      </c>
      <c r="F345">
        <v>850</v>
      </c>
      <c r="G345">
        <v>5100</v>
      </c>
      <c r="H345">
        <f>Table1[[#This Row],[Gross_Revenue]]-Table1[[#This Row],[Refunds]]</f>
        <v>700</v>
      </c>
      <c r="I345">
        <f>Table1[[#This Row],[Net_Revenue]]/Table1[[#This Row],[Marketing_Spend]]</f>
        <v>0.82352941176470584</v>
      </c>
      <c r="J345">
        <f>Table1[[#This Row],[Marketing_Spend]]/Table1[[#This Row],[Web_Traffic]]</f>
        <v>0.16666666666666666</v>
      </c>
      <c r="K345" t="str">
        <f>TEXT(Table1[[#This Row],[Date]],"mmm")</f>
        <v>Jun</v>
      </c>
    </row>
    <row r="346" spans="1:11" x14ac:dyDescent="0.35">
      <c r="A346" s="1">
        <v>45714</v>
      </c>
      <c r="B346" t="s">
        <v>7</v>
      </c>
      <c r="C346" t="s">
        <v>8</v>
      </c>
      <c r="D346">
        <v>4750</v>
      </c>
      <c r="E346">
        <v>237</v>
      </c>
      <c r="F346">
        <v>750</v>
      </c>
      <c r="G346">
        <v>3850</v>
      </c>
      <c r="H346">
        <f>Table1[[#This Row],[Gross_Revenue]]-Table1[[#This Row],[Refunds]]</f>
        <v>4513</v>
      </c>
      <c r="I346">
        <f>Table1[[#This Row],[Net_Revenue]]/Table1[[#This Row],[Marketing_Spend]]</f>
        <v>6.0173333333333332</v>
      </c>
      <c r="J346">
        <f>Table1[[#This Row],[Marketing_Spend]]/Table1[[#This Row],[Web_Traffic]]</f>
        <v>0.19480519480519481</v>
      </c>
      <c r="K346" t="str">
        <f>TEXT(Table1[[#This Row],[Date]],"mmm")</f>
        <v>Feb</v>
      </c>
    </row>
    <row r="347" spans="1:11" x14ac:dyDescent="0.35">
      <c r="A347" s="1">
        <v>45722</v>
      </c>
      <c r="B347" t="s">
        <v>9</v>
      </c>
      <c r="C347" t="s">
        <v>10</v>
      </c>
      <c r="D347">
        <v>4750</v>
      </c>
      <c r="E347">
        <v>237</v>
      </c>
      <c r="F347">
        <v>1080</v>
      </c>
      <c r="G347">
        <v>5350</v>
      </c>
      <c r="H347">
        <f>Table1[[#This Row],[Gross_Revenue]]-Table1[[#This Row],[Refunds]]</f>
        <v>4513</v>
      </c>
      <c r="I347">
        <f>Table1[[#This Row],[Net_Revenue]]/Table1[[#This Row],[Marketing_Spend]]</f>
        <v>4.1787037037037038</v>
      </c>
      <c r="J347">
        <f>Table1[[#This Row],[Marketing_Spend]]/Table1[[#This Row],[Web_Traffic]]</f>
        <v>0.20186915887850468</v>
      </c>
      <c r="K347" t="str">
        <f>TEXT(Table1[[#This Row],[Date]],"mmm")</f>
        <v>Mar</v>
      </c>
    </row>
    <row r="348" spans="1:11" x14ac:dyDescent="0.35">
      <c r="A348" s="1">
        <v>45779</v>
      </c>
      <c r="B348" t="s">
        <v>7</v>
      </c>
      <c r="C348" t="s">
        <v>8</v>
      </c>
      <c r="D348">
        <v>4750</v>
      </c>
      <c r="E348">
        <v>237</v>
      </c>
      <c r="F348">
        <v>810</v>
      </c>
      <c r="G348">
        <v>4750</v>
      </c>
      <c r="H348">
        <f>Table1[[#This Row],[Gross_Revenue]]-Table1[[#This Row],[Refunds]]</f>
        <v>4513</v>
      </c>
      <c r="I348">
        <f>Table1[[#This Row],[Net_Revenue]]/Table1[[#This Row],[Marketing_Spend]]</f>
        <v>5.5716049382716051</v>
      </c>
      <c r="J348">
        <f>Table1[[#This Row],[Marketing_Spend]]/Table1[[#This Row],[Web_Traffic]]</f>
        <v>0.17052631578947369</v>
      </c>
      <c r="K348" t="str">
        <f>TEXT(Table1[[#This Row],[Date]],"mmm")</f>
        <v>May</v>
      </c>
    </row>
    <row r="349" spans="1:11" x14ac:dyDescent="0.35">
      <c r="A349" s="1">
        <v>45787</v>
      </c>
      <c r="B349" t="s">
        <v>9</v>
      </c>
      <c r="C349" t="s">
        <v>10</v>
      </c>
      <c r="D349">
        <v>4750</v>
      </c>
      <c r="E349">
        <v>237</v>
      </c>
      <c r="F349">
        <v>1190</v>
      </c>
      <c r="G349">
        <v>6150</v>
      </c>
      <c r="H349">
        <f>Table1[[#This Row],[Gross_Revenue]]-Table1[[#This Row],[Refunds]]</f>
        <v>4513</v>
      </c>
      <c r="I349">
        <f>Table1[[#This Row],[Net_Revenue]]/Table1[[#This Row],[Marketing_Spend]]</f>
        <v>3.7924369747899158</v>
      </c>
      <c r="J349">
        <f>Table1[[#This Row],[Marketing_Spend]]/Table1[[#This Row],[Web_Traffic]]</f>
        <v>0.19349593495934958</v>
      </c>
      <c r="K349" t="str">
        <f>TEXT(Table1[[#This Row],[Date]],"mmm")</f>
        <v>May</v>
      </c>
    </row>
    <row r="350" spans="1:11" x14ac:dyDescent="0.35">
      <c r="A350" s="1">
        <v>45713</v>
      </c>
      <c r="B350" t="s">
        <v>7</v>
      </c>
      <c r="C350" t="s">
        <v>8</v>
      </c>
      <c r="D350">
        <v>4700</v>
      </c>
      <c r="E350">
        <v>235</v>
      </c>
      <c r="F350">
        <v>740</v>
      </c>
      <c r="G350">
        <v>3800</v>
      </c>
      <c r="H350">
        <f>Table1[[#This Row],[Gross_Revenue]]-Table1[[#This Row],[Refunds]]</f>
        <v>4465</v>
      </c>
      <c r="I350">
        <f>Table1[[#This Row],[Net_Revenue]]/Table1[[#This Row],[Marketing_Spend]]</f>
        <v>6.0337837837837842</v>
      </c>
      <c r="J350">
        <f>Table1[[#This Row],[Marketing_Spend]]/Table1[[#This Row],[Web_Traffic]]</f>
        <v>0.19473684210526315</v>
      </c>
      <c r="K350" t="str">
        <f>TEXT(Table1[[#This Row],[Date]],"mmm")</f>
        <v>Feb</v>
      </c>
    </row>
    <row r="351" spans="1:11" x14ac:dyDescent="0.35">
      <c r="A351" s="1">
        <v>45721</v>
      </c>
      <c r="B351" t="s">
        <v>9</v>
      </c>
      <c r="C351" t="s">
        <v>10</v>
      </c>
      <c r="D351">
        <v>4700</v>
      </c>
      <c r="E351">
        <v>235</v>
      </c>
      <c r="F351">
        <v>1070</v>
      </c>
      <c r="G351">
        <v>5300</v>
      </c>
      <c r="H351">
        <f>Table1[[#This Row],[Gross_Revenue]]-Table1[[#This Row],[Refunds]]</f>
        <v>4465</v>
      </c>
      <c r="I351">
        <f>Table1[[#This Row],[Net_Revenue]]/Table1[[#This Row],[Marketing_Spend]]</f>
        <v>4.1728971962616823</v>
      </c>
      <c r="J351">
        <f>Table1[[#This Row],[Marketing_Spend]]/Table1[[#This Row],[Web_Traffic]]</f>
        <v>0.2018867924528302</v>
      </c>
      <c r="K351" t="str">
        <f>TEXT(Table1[[#This Row],[Date]],"mmm")</f>
        <v>Mar</v>
      </c>
    </row>
    <row r="352" spans="1:11" x14ac:dyDescent="0.35">
      <c r="A352" s="1">
        <v>45772</v>
      </c>
      <c r="B352" t="s">
        <v>9</v>
      </c>
      <c r="C352" t="s">
        <v>10</v>
      </c>
      <c r="D352">
        <v>4700</v>
      </c>
      <c r="E352">
        <v>235</v>
      </c>
      <c r="F352">
        <v>1200</v>
      </c>
      <c r="G352">
        <v>6100</v>
      </c>
      <c r="H352">
        <f>Table1[[#This Row],[Gross_Revenue]]-Table1[[#This Row],[Refunds]]</f>
        <v>4465</v>
      </c>
      <c r="I352">
        <f>Table1[[#This Row],[Net_Revenue]]/Table1[[#This Row],[Marketing_Spend]]</f>
        <v>3.7208333333333332</v>
      </c>
      <c r="J352">
        <f>Table1[[#This Row],[Marketing_Spend]]/Table1[[#This Row],[Web_Traffic]]</f>
        <v>0.19672131147540983</v>
      </c>
      <c r="K352" t="str">
        <f>TEXT(Table1[[#This Row],[Date]],"mmm")</f>
        <v>Apr</v>
      </c>
    </row>
    <row r="353" spans="1:11" x14ac:dyDescent="0.35">
      <c r="A353" s="1">
        <v>45776</v>
      </c>
      <c r="B353" t="s">
        <v>7</v>
      </c>
      <c r="C353" t="s">
        <v>8</v>
      </c>
      <c r="D353">
        <v>4700</v>
      </c>
      <c r="E353">
        <v>235</v>
      </c>
      <c r="F353">
        <v>820</v>
      </c>
      <c r="G353">
        <v>4700</v>
      </c>
      <c r="H353">
        <f>Table1[[#This Row],[Gross_Revenue]]-Table1[[#This Row],[Refunds]]</f>
        <v>4465</v>
      </c>
      <c r="I353">
        <f>Table1[[#This Row],[Net_Revenue]]/Table1[[#This Row],[Marketing_Spend]]</f>
        <v>5.4451219512195124</v>
      </c>
      <c r="J353">
        <f>Table1[[#This Row],[Marketing_Spend]]/Table1[[#This Row],[Web_Traffic]]</f>
        <v>0.17446808510638298</v>
      </c>
      <c r="K353" t="str">
        <f>TEXT(Table1[[#This Row],[Date]],"mmm")</f>
        <v>Apr</v>
      </c>
    </row>
    <row r="354" spans="1:11" x14ac:dyDescent="0.35">
      <c r="A354" s="1">
        <v>45778</v>
      </c>
      <c r="B354" t="s">
        <v>7</v>
      </c>
      <c r="C354" t="s">
        <v>8</v>
      </c>
      <c r="D354">
        <v>4700</v>
      </c>
      <c r="E354">
        <v>235</v>
      </c>
      <c r="F354">
        <v>800</v>
      </c>
      <c r="G354">
        <v>4700</v>
      </c>
      <c r="H354">
        <f>Table1[[#This Row],[Gross_Revenue]]-Table1[[#This Row],[Refunds]]</f>
        <v>4465</v>
      </c>
      <c r="I354">
        <f>Table1[[#This Row],[Net_Revenue]]/Table1[[#This Row],[Marketing_Spend]]</f>
        <v>5.5812499999999998</v>
      </c>
      <c r="J354">
        <f>Table1[[#This Row],[Marketing_Spend]]/Table1[[#This Row],[Web_Traffic]]</f>
        <v>0.1702127659574468</v>
      </c>
      <c r="K354" t="str">
        <f>TEXT(Table1[[#This Row],[Date]],"mmm")</f>
        <v>May</v>
      </c>
    </row>
    <row r="355" spans="1:11" x14ac:dyDescent="0.35">
      <c r="A355" s="1">
        <v>45786</v>
      </c>
      <c r="B355" t="s">
        <v>9</v>
      </c>
      <c r="C355" t="s">
        <v>10</v>
      </c>
      <c r="D355">
        <v>4700</v>
      </c>
      <c r="E355">
        <v>235</v>
      </c>
      <c r="F355">
        <v>1180</v>
      </c>
      <c r="G355">
        <v>6100</v>
      </c>
      <c r="H355">
        <f>Table1[[#This Row],[Gross_Revenue]]-Table1[[#This Row],[Refunds]]</f>
        <v>4465</v>
      </c>
      <c r="I355">
        <f>Table1[[#This Row],[Net_Revenue]]/Table1[[#This Row],[Marketing_Spend]]</f>
        <v>3.7838983050847457</v>
      </c>
      <c r="J355">
        <f>Table1[[#This Row],[Marketing_Spend]]/Table1[[#This Row],[Web_Traffic]]</f>
        <v>0.19344262295081968</v>
      </c>
      <c r="K355" t="str">
        <f>TEXT(Table1[[#This Row],[Date]],"mmm")</f>
        <v>May</v>
      </c>
    </row>
    <row r="356" spans="1:11" x14ac:dyDescent="0.35">
      <c r="A356" s="1">
        <v>45712</v>
      </c>
      <c r="B356" t="s">
        <v>7</v>
      </c>
      <c r="C356" t="s">
        <v>8</v>
      </c>
      <c r="D356">
        <v>4650</v>
      </c>
      <c r="E356">
        <v>232</v>
      </c>
      <c r="F356">
        <v>730</v>
      </c>
      <c r="G356">
        <v>3750</v>
      </c>
      <c r="H356">
        <f>Table1[[#This Row],[Gross_Revenue]]-Table1[[#This Row],[Refunds]]</f>
        <v>4418</v>
      </c>
      <c r="I356">
        <f>Table1[[#This Row],[Net_Revenue]]/Table1[[#This Row],[Marketing_Spend]]</f>
        <v>6.0520547945205481</v>
      </c>
      <c r="J356">
        <f>Table1[[#This Row],[Marketing_Spend]]/Table1[[#This Row],[Web_Traffic]]</f>
        <v>0.19466666666666665</v>
      </c>
      <c r="K356" t="str">
        <f>TEXT(Table1[[#This Row],[Date]],"mmm")</f>
        <v>Feb</v>
      </c>
    </row>
    <row r="357" spans="1:11" x14ac:dyDescent="0.35">
      <c r="A357" s="1">
        <v>45720</v>
      </c>
      <c r="B357" t="s">
        <v>9</v>
      </c>
      <c r="C357" t="s">
        <v>10</v>
      </c>
      <c r="D357">
        <v>4650</v>
      </c>
      <c r="E357">
        <v>232</v>
      </c>
      <c r="F357">
        <v>1060</v>
      </c>
      <c r="G357">
        <v>5250</v>
      </c>
      <c r="H357">
        <f>Table1[[#This Row],[Gross_Revenue]]-Table1[[#This Row],[Refunds]]</f>
        <v>4418</v>
      </c>
      <c r="I357">
        <f>Table1[[#This Row],[Net_Revenue]]/Table1[[#This Row],[Marketing_Spend]]</f>
        <v>4.1679245283018869</v>
      </c>
      <c r="J357">
        <f>Table1[[#This Row],[Marketing_Spend]]/Table1[[#This Row],[Web_Traffic]]</f>
        <v>0.20190476190476189</v>
      </c>
      <c r="K357" t="str">
        <f>TEXT(Table1[[#This Row],[Date]],"mmm")</f>
        <v>Mar</v>
      </c>
    </row>
    <row r="358" spans="1:11" x14ac:dyDescent="0.35">
      <c r="A358" s="1">
        <v>45785</v>
      </c>
      <c r="B358" t="s">
        <v>9</v>
      </c>
      <c r="C358" t="s">
        <v>10</v>
      </c>
      <c r="D358">
        <v>4650</v>
      </c>
      <c r="E358">
        <v>232</v>
      </c>
      <c r="F358">
        <v>1170</v>
      </c>
      <c r="G358">
        <v>6050</v>
      </c>
      <c r="H358">
        <f>Table1[[#This Row],[Gross_Revenue]]-Table1[[#This Row],[Refunds]]</f>
        <v>4418</v>
      </c>
      <c r="I358">
        <f>Table1[[#This Row],[Net_Revenue]]/Table1[[#This Row],[Marketing_Spend]]</f>
        <v>3.776068376068376</v>
      </c>
      <c r="J358">
        <f>Table1[[#This Row],[Marketing_Spend]]/Table1[[#This Row],[Web_Traffic]]</f>
        <v>0.1933884297520661</v>
      </c>
      <c r="K358" t="str">
        <f>TEXT(Table1[[#This Row],[Date]],"mmm")</f>
        <v>May</v>
      </c>
    </row>
    <row r="359" spans="1:11" x14ac:dyDescent="0.35">
      <c r="A359" s="1">
        <v>45711</v>
      </c>
      <c r="B359" t="s">
        <v>7</v>
      </c>
      <c r="C359" t="s">
        <v>8</v>
      </c>
      <c r="D359">
        <v>4600</v>
      </c>
      <c r="E359">
        <v>230</v>
      </c>
      <c r="F359">
        <v>720</v>
      </c>
      <c r="G359">
        <v>3700</v>
      </c>
      <c r="H359">
        <f>Table1[[#This Row],[Gross_Revenue]]-Table1[[#This Row],[Refunds]]</f>
        <v>4370</v>
      </c>
      <c r="I359">
        <f>Table1[[#This Row],[Net_Revenue]]/Table1[[#This Row],[Marketing_Spend]]</f>
        <v>6.0694444444444446</v>
      </c>
      <c r="J359">
        <f>Table1[[#This Row],[Marketing_Spend]]/Table1[[#This Row],[Web_Traffic]]</f>
        <v>0.19459459459459461</v>
      </c>
      <c r="K359" t="str">
        <f>TEXT(Table1[[#This Row],[Date]],"mmm")</f>
        <v>Feb</v>
      </c>
    </row>
    <row r="360" spans="1:11" x14ac:dyDescent="0.35">
      <c r="A360" s="1">
        <v>45719</v>
      </c>
      <c r="B360" t="s">
        <v>9</v>
      </c>
      <c r="C360" t="s">
        <v>10</v>
      </c>
      <c r="D360">
        <v>4600</v>
      </c>
      <c r="E360">
        <v>230</v>
      </c>
      <c r="F360">
        <v>1050</v>
      </c>
      <c r="G360">
        <v>5200</v>
      </c>
      <c r="H360">
        <f>Table1[[#This Row],[Gross_Revenue]]-Table1[[#This Row],[Refunds]]</f>
        <v>4370</v>
      </c>
      <c r="I360">
        <f>Table1[[#This Row],[Net_Revenue]]/Table1[[#This Row],[Marketing_Spend]]</f>
        <v>4.1619047619047622</v>
      </c>
      <c r="J360">
        <f>Table1[[#This Row],[Marketing_Spend]]/Table1[[#This Row],[Web_Traffic]]</f>
        <v>0.20192307692307693</v>
      </c>
      <c r="K360" t="str">
        <f>TEXT(Table1[[#This Row],[Date]],"mmm")</f>
        <v>Mar</v>
      </c>
    </row>
    <row r="361" spans="1:11" x14ac:dyDescent="0.35">
      <c r="A361" s="1">
        <v>45773</v>
      </c>
      <c r="B361" t="s">
        <v>9</v>
      </c>
      <c r="C361" t="s">
        <v>10</v>
      </c>
      <c r="D361">
        <v>4600</v>
      </c>
      <c r="E361">
        <v>230</v>
      </c>
      <c r="F361">
        <v>1180</v>
      </c>
      <c r="G361">
        <v>6000</v>
      </c>
      <c r="H361">
        <f>Table1[[#This Row],[Gross_Revenue]]-Table1[[#This Row],[Refunds]]</f>
        <v>4370</v>
      </c>
      <c r="I361">
        <f>Table1[[#This Row],[Net_Revenue]]/Table1[[#This Row],[Marketing_Spend]]</f>
        <v>3.7033898305084745</v>
      </c>
      <c r="J361">
        <f>Table1[[#This Row],[Marketing_Spend]]/Table1[[#This Row],[Web_Traffic]]</f>
        <v>0.19666666666666666</v>
      </c>
      <c r="K361" t="str">
        <f>TEXT(Table1[[#This Row],[Date]],"mmm")</f>
        <v>Apr</v>
      </c>
    </row>
    <row r="362" spans="1:11" x14ac:dyDescent="0.35">
      <c r="A362" s="1">
        <v>45777</v>
      </c>
      <c r="B362" t="s">
        <v>7</v>
      </c>
      <c r="C362" t="s">
        <v>8</v>
      </c>
      <c r="D362">
        <v>4600</v>
      </c>
      <c r="E362">
        <v>230</v>
      </c>
      <c r="F362">
        <v>800</v>
      </c>
      <c r="G362">
        <v>4600</v>
      </c>
      <c r="H362">
        <f>Table1[[#This Row],[Gross_Revenue]]-Table1[[#This Row],[Refunds]]</f>
        <v>4370</v>
      </c>
      <c r="I362">
        <f>Table1[[#This Row],[Net_Revenue]]/Table1[[#This Row],[Marketing_Spend]]</f>
        <v>5.4625000000000004</v>
      </c>
      <c r="J362">
        <f>Table1[[#This Row],[Marketing_Spend]]/Table1[[#This Row],[Web_Traffic]]</f>
        <v>0.17391304347826086</v>
      </c>
      <c r="K362" t="str">
        <f>TEXT(Table1[[#This Row],[Date]],"mmm")</f>
        <v>Apr</v>
      </c>
    </row>
    <row r="363" spans="1:11" x14ac:dyDescent="0.35">
      <c r="A363" s="1">
        <v>45784</v>
      </c>
      <c r="B363" t="s">
        <v>9</v>
      </c>
      <c r="C363" t="s">
        <v>10</v>
      </c>
      <c r="D363">
        <v>4600</v>
      </c>
      <c r="E363">
        <v>230</v>
      </c>
      <c r="F363">
        <v>1160</v>
      </c>
      <c r="G363">
        <v>6000</v>
      </c>
      <c r="H363">
        <f>Table1[[#This Row],[Gross_Revenue]]-Table1[[#This Row],[Refunds]]</f>
        <v>4370</v>
      </c>
      <c r="I363">
        <f>Table1[[#This Row],[Net_Revenue]]/Table1[[#This Row],[Marketing_Spend]]</f>
        <v>3.7672413793103448</v>
      </c>
      <c r="J363">
        <f>Table1[[#This Row],[Marketing_Spend]]/Table1[[#This Row],[Web_Traffic]]</f>
        <v>0.19333333333333333</v>
      </c>
      <c r="K363" t="str">
        <f>TEXT(Table1[[#This Row],[Date]],"mmm")</f>
        <v>May</v>
      </c>
    </row>
    <row r="364" spans="1:11" x14ac:dyDescent="0.35">
      <c r="A364" s="1">
        <v>45710</v>
      </c>
      <c r="B364" t="s">
        <v>7</v>
      </c>
      <c r="C364" t="s">
        <v>8</v>
      </c>
      <c r="D364">
        <v>4550</v>
      </c>
      <c r="E364">
        <v>227</v>
      </c>
      <c r="F364">
        <v>710</v>
      </c>
      <c r="G364">
        <v>3650</v>
      </c>
      <c r="H364">
        <f>Table1[[#This Row],[Gross_Revenue]]-Table1[[#This Row],[Refunds]]</f>
        <v>4323</v>
      </c>
      <c r="I364">
        <f>Table1[[#This Row],[Net_Revenue]]/Table1[[#This Row],[Marketing_Spend]]</f>
        <v>6.0887323943661968</v>
      </c>
      <c r="J364">
        <f>Table1[[#This Row],[Marketing_Spend]]/Table1[[#This Row],[Web_Traffic]]</f>
        <v>0.19452054794520549</v>
      </c>
      <c r="K364" t="str">
        <f>TEXT(Table1[[#This Row],[Date]],"mmm")</f>
        <v>Feb</v>
      </c>
    </row>
    <row r="365" spans="1:11" x14ac:dyDescent="0.35">
      <c r="A365" s="1">
        <v>45718</v>
      </c>
      <c r="B365" t="s">
        <v>9</v>
      </c>
      <c r="C365" t="s">
        <v>10</v>
      </c>
      <c r="D365">
        <v>4550</v>
      </c>
      <c r="E365">
        <v>227</v>
      </c>
      <c r="F365">
        <v>1040</v>
      </c>
      <c r="G365">
        <v>5150</v>
      </c>
      <c r="H365">
        <f>Table1[[#This Row],[Gross_Revenue]]-Table1[[#This Row],[Refunds]]</f>
        <v>4323</v>
      </c>
      <c r="I365">
        <f>Table1[[#This Row],[Net_Revenue]]/Table1[[#This Row],[Marketing_Spend]]</f>
        <v>4.1567307692307693</v>
      </c>
      <c r="J365">
        <f>Table1[[#This Row],[Marketing_Spend]]/Table1[[#This Row],[Web_Traffic]]</f>
        <v>0.20194174757281552</v>
      </c>
      <c r="K365" t="str">
        <f>TEXT(Table1[[#This Row],[Date]],"mmm")</f>
        <v>Mar</v>
      </c>
    </row>
    <row r="366" spans="1:11" x14ac:dyDescent="0.35">
      <c r="A366" s="1">
        <v>45783</v>
      </c>
      <c r="B366" t="s">
        <v>9</v>
      </c>
      <c r="C366" t="s">
        <v>10</v>
      </c>
      <c r="D366">
        <v>4550</v>
      </c>
      <c r="E366">
        <v>227</v>
      </c>
      <c r="F366">
        <v>1150</v>
      </c>
      <c r="G366">
        <v>5950</v>
      </c>
      <c r="H366">
        <f>Table1[[#This Row],[Gross_Revenue]]-Table1[[#This Row],[Refunds]]</f>
        <v>4323</v>
      </c>
      <c r="I366">
        <f>Table1[[#This Row],[Net_Revenue]]/Table1[[#This Row],[Marketing_Spend]]</f>
        <v>3.7591304347826089</v>
      </c>
      <c r="J366">
        <f>Table1[[#This Row],[Marketing_Spend]]/Table1[[#This Row],[Web_Traffic]]</f>
        <v>0.19327731092436976</v>
      </c>
      <c r="K366" t="str">
        <f>TEXT(Table1[[#This Row],[Date]],"mmm")</f>
        <v>May</v>
      </c>
    </row>
    <row r="367" spans="1:11" x14ac:dyDescent="0.35">
      <c r="A367" s="1">
        <v>45709</v>
      </c>
      <c r="B367" t="s">
        <v>7</v>
      </c>
      <c r="C367" t="s">
        <v>8</v>
      </c>
      <c r="D367">
        <v>4500</v>
      </c>
      <c r="E367">
        <v>225</v>
      </c>
      <c r="F367">
        <v>700</v>
      </c>
      <c r="G367">
        <v>3600</v>
      </c>
      <c r="H367">
        <f>Table1[[#This Row],[Gross_Revenue]]-Table1[[#This Row],[Refunds]]</f>
        <v>4275</v>
      </c>
      <c r="I367">
        <f>Table1[[#This Row],[Net_Revenue]]/Table1[[#This Row],[Marketing_Spend]]</f>
        <v>6.1071428571428568</v>
      </c>
      <c r="J367">
        <f>Table1[[#This Row],[Marketing_Spend]]/Table1[[#This Row],[Web_Traffic]]</f>
        <v>0.19444444444444445</v>
      </c>
      <c r="K367" t="str">
        <f>TEXT(Table1[[#This Row],[Date]],"mmm")</f>
        <v>Feb</v>
      </c>
    </row>
    <row r="368" spans="1:11" x14ac:dyDescent="0.35">
      <c r="A368" s="1">
        <v>45717</v>
      </c>
      <c r="B368" t="s">
        <v>9</v>
      </c>
      <c r="C368" t="s">
        <v>10</v>
      </c>
      <c r="D368">
        <v>4500</v>
      </c>
      <c r="E368">
        <v>225</v>
      </c>
      <c r="F368">
        <v>1030</v>
      </c>
      <c r="G368">
        <v>5100</v>
      </c>
      <c r="H368">
        <f>Table1[[#This Row],[Gross_Revenue]]-Table1[[#This Row],[Refunds]]</f>
        <v>4275</v>
      </c>
      <c r="I368">
        <f>Table1[[#This Row],[Net_Revenue]]/Table1[[#This Row],[Marketing_Spend]]</f>
        <v>4.150485436893204</v>
      </c>
      <c r="J368">
        <f>Table1[[#This Row],[Marketing_Spend]]/Table1[[#This Row],[Web_Traffic]]</f>
        <v>0.20196078431372549</v>
      </c>
      <c r="K368" t="str">
        <f>TEXT(Table1[[#This Row],[Date]],"mmm")</f>
        <v>Mar</v>
      </c>
    </row>
    <row r="369" spans="1:11" x14ac:dyDescent="0.35">
      <c r="A369" s="1">
        <v>45774</v>
      </c>
      <c r="B369" t="s">
        <v>9</v>
      </c>
      <c r="C369" t="s">
        <v>10</v>
      </c>
      <c r="D369">
        <v>4500</v>
      </c>
      <c r="E369">
        <v>225</v>
      </c>
      <c r="F369">
        <v>1160</v>
      </c>
      <c r="G369">
        <v>5900</v>
      </c>
      <c r="H369">
        <f>Table1[[#This Row],[Gross_Revenue]]-Table1[[#This Row],[Refunds]]</f>
        <v>4275</v>
      </c>
      <c r="I369">
        <f>Table1[[#This Row],[Net_Revenue]]/Table1[[#This Row],[Marketing_Spend]]</f>
        <v>3.6853448275862069</v>
      </c>
      <c r="J369">
        <f>Table1[[#This Row],[Marketing_Spend]]/Table1[[#This Row],[Web_Traffic]]</f>
        <v>0.19661016949152543</v>
      </c>
      <c r="K369" t="str">
        <f>TEXT(Table1[[#This Row],[Date]],"mmm")</f>
        <v>Apr</v>
      </c>
    </row>
    <row r="370" spans="1:11" x14ac:dyDescent="0.35">
      <c r="A370" s="1">
        <v>45782</v>
      </c>
      <c r="B370" t="s">
        <v>9</v>
      </c>
      <c r="C370" t="s">
        <v>10</v>
      </c>
      <c r="D370">
        <v>4500</v>
      </c>
      <c r="E370">
        <v>225</v>
      </c>
      <c r="F370">
        <v>1140</v>
      </c>
      <c r="G370">
        <v>5900</v>
      </c>
      <c r="H370">
        <f>Table1[[#This Row],[Gross_Revenue]]-Table1[[#This Row],[Refunds]]</f>
        <v>4275</v>
      </c>
      <c r="I370">
        <f>Table1[[#This Row],[Net_Revenue]]/Table1[[#This Row],[Marketing_Spend]]</f>
        <v>3.75</v>
      </c>
      <c r="J370">
        <f>Table1[[#This Row],[Marketing_Spend]]/Table1[[#This Row],[Web_Traffic]]</f>
        <v>0.19322033898305085</v>
      </c>
      <c r="K370" t="str">
        <f>TEXT(Table1[[#This Row],[Date]],"mmm")</f>
        <v>May</v>
      </c>
    </row>
    <row r="371" spans="1:11" x14ac:dyDescent="0.35">
      <c r="A371" s="1">
        <v>45708</v>
      </c>
      <c r="B371" t="s">
        <v>7</v>
      </c>
      <c r="C371" t="s">
        <v>8</v>
      </c>
      <c r="D371">
        <v>4450</v>
      </c>
      <c r="E371">
        <v>222</v>
      </c>
      <c r="F371">
        <v>690</v>
      </c>
      <c r="G371">
        <v>3550</v>
      </c>
      <c r="H371">
        <f>Table1[[#This Row],[Gross_Revenue]]-Table1[[#This Row],[Refunds]]</f>
        <v>4228</v>
      </c>
      <c r="I371">
        <f>Table1[[#This Row],[Net_Revenue]]/Table1[[#This Row],[Marketing_Spend]]</f>
        <v>6.1275362318840578</v>
      </c>
      <c r="J371">
        <f>Table1[[#This Row],[Marketing_Spend]]/Table1[[#This Row],[Web_Traffic]]</f>
        <v>0.19436619718309858</v>
      </c>
      <c r="K371" t="str">
        <f>TEXT(Table1[[#This Row],[Date]],"mmm")</f>
        <v>Feb</v>
      </c>
    </row>
    <row r="372" spans="1:11" x14ac:dyDescent="0.35">
      <c r="A372" s="1">
        <v>45716</v>
      </c>
      <c r="B372" t="s">
        <v>9</v>
      </c>
      <c r="C372" t="s">
        <v>10</v>
      </c>
      <c r="D372">
        <v>4450</v>
      </c>
      <c r="E372">
        <v>222</v>
      </c>
      <c r="F372">
        <v>1020</v>
      </c>
      <c r="G372">
        <v>5050</v>
      </c>
      <c r="H372">
        <f>Table1[[#This Row],[Gross_Revenue]]-Table1[[#This Row],[Refunds]]</f>
        <v>4228</v>
      </c>
      <c r="I372">
        <f>Table1[[#This Row],[Net_Revenue]]/Table1[[#This Row],[Marketing_Spend]]</f>
        <v>4.1450980392156866</v>
      </c>
      <c r="J372">
        <f>Table1[[#This Row],[Marketing_Spend]]/Table1[[#This Row],[Web_Traffic]]</f>
        <v>0.20198019801980199</v>
      </c>
      <c r="K372" t="str">
        <f>TEXT(Table1[[#This Row],[Date]],"mmm")</f>
        <v>Feb</v>
      </c>
    </row>
    <row r="373" spans="1:11" x14ac:dyDescent="0.35">
      <c r="A373" s="1">
        <v>45781</v>
      </c>
      <c r="B373" t="s">
        <v>9</v>
      </c>
      <c r="C373" t="s">
        <v>10</v>
      </c>
      <c r="D373">
        <v>4450</v>
      </c>
      <c r="E373">
        <v>222</v>
      </c>
      <c r="F373">
        <v>1130</v>
      </c>
      <c r="G373">
        <v>5850</v>
      </c>
      <c r="H373">
        <f>Table1[[#This Row],[Gross_Revenue]]-Table1[[#This Row],[Refunds]]</f>
        <v>4228</v>
      </c>
      <c r="I373">
        <f>Table1[[#This Row],[Net_Revenue]]/Table1[[#This Row],[Marketing_Spend]]</f>
        <v>3.7415929203539822</v>
      </c>
      <c r="J373">
        <f>Table1[[#This Row],[Marketing_Spend]]/Table1[[#This Row],[Web_Traffic]]</f>
        <v>0.19316239316239317</v>
      </c>
      <c r="K373" t="str">
        <f>TEXT(Table1[[#This Row],[Date]],"mmm")</f>
        <v>May</v>
      </c>
    </row>
    <row r="374" spans="1:11" x14ac:dyDescent="0.35">
      <c r="A374" s="1">
        <v>45707</v>
      </c>
      <c r="B374" t="s">
        <v>7</v>
      </c>
      <c r="C374" t="s">
        <v>8</v>
      </c>
      <c r="D374">
        <v>4400</v>
      </c>
      <c r="E374">
        <v>220</v>
      </c>
      <c r="F374">
        <v>680</v>
      </c>
      <c r="G374">
        <v>3500</v>
      </c>
      <c r="H374">
        <f>Table1[[#This Row],[Gross_Revenue]]-Table1[[#This Row],[Refunds]]</f>
        <v>4180</v>
      </c>
      <c r="I374">
        <f>Table1[[#This Row],[Net_Revenue]]/Table1[[#This Row],[Marketing_Spend]]</f>
        <v>6.1470588235294121</v>
      </c>
      <c r="J374">
        <f>Table1[[#This Row],[Marketing_Spend]]/Table1[[#This Row],[Web_Traffic]]</f>
        <v>0.19428571428571428</v>
      </c>
      <c r="K374" t="str">
        <f>TEXT(Table1[[#This Row],[Date]],"mmm")</f>
        <v>Feb</v>
      </c>
    </row>
    <row r="375" spans="1:11" x14ac:dyDescent="0.35">
      <c r="A375" s="1">
        <v>45715</v>
      </c>
      <c r="B375" t="s">
        <v>9</v>
      </c>
      <c r="C375" t="s">
        <v>10</v>
      </c>
      <c r="D375">
        <v>4400</v>
      </c>
      <c r="E375">
        <v>220</v>
      </c>
      <c r="F375">
        <v>1010</v>
      </c>
      <c r="G375">
        <v>5000</v>
      </c>
      <c r="H375">
        <f>Table1[[#This Row],[Gross_Revenue]]-Table1[[#This Row],[Refunds]]</f>
        <v>4180</v>
      </c>
      <c r="I375">
        <f>Table1[[#This Row],[Net_Revenue]]/Table1[[#This Row],[Marketing_Spend]]</f>
        <v>4.1386138613861387</v>
      </c>
      <c r="J375">
        <f>Table1[[#This Row],[Marketing_Spend]]/Table1[[#This Row],[Web_Traffic]]</f>
        <v>0.20200000000000001</v>
      </c>
      <c r="K375" t="str">
        <f>TEXT(Table1[[#This Row],[Date]],"mmm")</f>
        <v>Feb</v>
      </c>
    </row>
    <row r="376" spans="1:11" x14ac:dyDescent="0.35">
      <c r="A376" s="1">
        <v>45775</v>
      </c>
      <c r="B376" t="s">
        <v>9</v>
      </c>
      <c r="C376" t="s">
        <v>10</v>
      </c>
      <c r="D376">
        <v>4400</v>
      </c>
      <c r="E376">
        <v>220</v>
      </c>
      <c r="F376">
        <v>1140</v>
      </c>
      <c r="G376">
        <v>5800</v>
      </c>
      <c r="H376">
        <f>Table1[[#This Row],[Gross_Revenue]]-Table1[[#This Row],[Refunds]]</f>
        <v>4180</v>
      </c>
      <c r="I376">
        <f>Table1[[#This Row],[Net_Revenue]]/Table1[[#This Row],[Marketing_Spend]]</f>
        <v>3.6666666666666665</v>
      </c>
      <c r="J376">
        <f>Table1[[#This Row],[Marketing_Spend]]/Table1[[#This Row],[Web_Traffic]]</f>
        <v>0.19655172413793104</v>
      </c>
      <c r="K376" t="str">
        <f>TEXT(Table1[[#This Row],[Date]],"mmm")</f>
        <v>Apr</v>
      </c>
    </row>
    <row r="377" spans="1:11" x14ac:dyDescent="0.35">
      <c r="A377" s="1">
        <v>45780</v>
      </c>
      <c r="B377" t="s">
        <v>9</v>
      </c>
      <c r="C377" t="s">
        <v>10</v>
      </c>
      <c r="D377">
        <v>4400</v>
      </c>
      <c r="E377">
        <v>220</v>
      </c>
      <c r="F377">
        <v>1120</v>
      </c>
      <c r="G377">
        <v>5800</v>
      </c>
      <c r="H377">
        <f>Table1[[#This Row],[Gross_Revenue]]-Table1[[#This Row],[Refunds]]</f>
        <v>4180</v>
      </c>
      <c r="I377">
        <f>Table1[[#This Row],[Net_Revenue]]/Table1[[#This Row],[Marketing_Spend]]</f>
        <v>3.7321428571428572</v>
      </c>
      <c r="J377">
        <f>Table1[[#This Row],[Marketing_Spend]]/Table1[[#This Row],[Web_Traffic]]</f>
        <v>0.19310344827586207</v>
      </c>
      <c r="K377" t="str">
        <f>TEXT(Table1[[#This Row],[Date]],"mmm")</f>
        <v>May</v>
      </c>
    </row>
    <row r="378" spans="1:11" x14ac:dyDescent="0.35">
      <c r="A378" s="1">
        <v>45706</v>
      </c>
      <c r="B378" t="s">
        <v>7</v>
      </c>
      <c r="C378" t="s">
        <v>8</v>
      </c>
      <c r="D378">
        <v>4350</v>
      </c>
      <c r="E378">
        <v>217</v>
      </c>
      <c r="F378">
        <v>670</v>
      </c>
      <c r="G378">
        <v>3450</v>
      </c>
      <c r="H378">
        <f>Table1[[#This Row],[Gross_Revenue]]-Table1[[#This Row],[Refunds]]</f>
        <v>4133</v>
      </c>
      <c r="I378">
        <f>Table1[[#This Row],[Net_Revenue]]/Table1[[#This Row],[Marketing_Spend]]</f>
        <v>6.1686567164179102</v>
      </c>
      <c r="J378">
        <f>Table1[[#This Row],[Marketing_Spend]]/Table1[[#This Row],[Web_Traffic]]</f>
        <v>0.19420289855072465</v>
      </c>
      <c r="K378" t="str">
        <f>TEXT(Table1[[#This Row],[Date]],"mmm")</f>
        <v>Feb</v>
      </c>
    </row>
    <row r="379" spans="1:11" x14ac:dyDescent="0.35">
      <c r="A379" s="1">
        <v>45714</v>
      </c>
      <c r="B379" t="s">
        <v>9</v>
      </c>
      <c r="C379" t="s">
        <v>10</v>
      </c>
      <c r="D379">
        <v>4350</v>
      </c>
      <c r="E379">
        <v>217</v>
      </c>
      <c r="F379">
        <v>1000</v>
      </c>
      <c r="G379">
        <v>4950</v>
      </c>
      <c r="H379">
        <f>Table1[[#This Row],[Gross_Revenue]]-Table1[[#This Row],[Refunds]]</f>
        <v>4133</v>
      </c>
      <c r="I379">
        <f>Table1[[#This Row],[Net_Revenue]]/Table1[[#This Row],[Marketing_Spend]]</f>
        <v>4.133</v>
      </c>
      <c r="J379">
        <f>Table1[[#This Row],[Marketing_Spend]]/Table1[[#This Row],[Web_Traffic]]</f>
        <v>0.20202020202020202</v>
      </c>
      <c r="K379" t="str">
        <f>TEXT(Table1[[#This Row],[Date]],"mmm")</f>
        <v>Feb</v>
      </c>
    </row>
    <row r="380" spans="1:11" x14ac:dyDescent="0.35">
      <c r="A380" s="1">
        <v>45779</v>
      </c>
      <c r="B380" t="s">
        <v>9</v>
      </c>
      <c r="C380" t="s">
        <v>10</v>
      </c>
      <c r="D380">
        <v>4350</v>
      </c>
      <c r="E380">
        <v>217</v>
      </c>
      <c r="F380">
        <v>1110</v>
      </c>
      <c r="G380">
        <v>5750</v>
      </c>
      <c r="H380">
        <f>Table1[[#This Row],[Gross_Revenue]]-Table1[[#This Row],[Refunds]]</f>
        <v>4133</v>
      </c>
      <c r="I380">
        <f>Table1[[#This Row],[Net_Revenue]]/Table1[[#This Row],[Marketing_Spend]]</f>
        <v>3.7234234234234234</v>
      </c>
      <c r="J380">
        <f>Table1[[#This Row],[Marketing_Spend]]/Table1[[#This Row],[Web_Traffic]]</f>
        <v>0.19304347826086957</v>
      </c>
      <c r="K380" t="str">
        <f>TEXT(Table1[[#This Row],[Date]],"mmm")</f>
        <v>May</v>
      </c>
    </row>
    <row r="381" spans="1:11" x14ac:dyDescent="0.35">
      <c r="A381" s="1">
        <v>45705</v>
      </c>
      <c r="B381" t="s">
        <v>7</v>
      </c>
      <c r="C381" t="s">
        <v>8</v>
      </c>
      <c r="D381">
        <v>4300</v>
      </c>
      <c r="E381">
        <v>215</v>
      </c>
      <c r="F381">
        <v>660</v>
      </c>
      <c r="G381">
        <v>3400</v>
      </c>
      <c r="H381">
        <f>Table1[[#This Row],[Gross_Revenue]]-Table1[[#This Row],[Refunds]]</f>
        <v>4085</v>
      </c>
      <c r="I381">
        <f>Table1[[#This Row],[Net_Revenue]]/Table1[[#This Row],[Marketing_Spend]]</f>
        <v>6.1893939393939394</v>
      </c>
      <c r="J381">
        <f>Table1[[#This Row],[Marketing_Spend]]/Table1[[#This Row],[Web_Traffic]]</f>
        <v>0.19411764705882353</v>
      </c>
      <c r="K381" t="str">
        <f>TEXT(Table1[[#This Row],[Date]],"mmm")</f>
        <v>Feb</v>
      </c>
    </row>
    <row r="382" spans="1:11" x14ac:dyDescent="0.35">
      <c r="A382" s="1">
        <v>45713</v>
      </c>
      <c r="B382" t="s">
        <v>9</v>
      </c>
      <c r="C382" t="s">
        <v>10</v>
      </c>
      <c r="D382">
        <v>4300</v>
      </c>
      <c r="E382">
        <v>215</v>
      </c>
      <c r="F382">
        <v>990</v>
      </c>
      <c r="G382">
        <v>4900</v>
      </c>
      <c r="H382">
        <f>Table1[[#This Row],[Gross_Revenue]]-Table1[[#This Row],[Refunds]]</f>
        <v>4085</v>
      </c>
      <c r="I382">
        <f>Table1[[#This Row],[Net_Revenue]]/Table1[[#This Row],[Marketing_Spend]]</f>
        <v>4.1262626262626263</v>
      </c>
      <c r="J382">
        <f>Table1[[#This Row],[Marketing_Spend]]/Table1[[#This Row],[Web_Traffic]]</f>
        <v>0.20204081632653062</v>
      </c>
      <c r="K382" t="str">
        <f>TEXT(Table1[[#This Row],[Date]],"mmm")</f>
        <v>Feb</v>
      </c>
    </row>
    <row r="383" spans="1:11" x14ac:dyDescent="0.35">
      <c r="A383" s="1">
        <v>45776</v>
      </c>
      <c r="B383" t="s">
        <v>9</v>
      </c>
      <c r="C383" t="s">
        <v>10</v>
      </c>
      <c r="D383">
        <v>4300</v>
      </c>
      <c r="E383">
        <v>215</v>
      </c>
      <c r="F383">
        <v>1120</v>
      </c>
      <c r="G383">
        <v>5700</v>
      </c>
      <c r="H383">
        <f>Table1[[#This Row],[Gross_Revenue]]-Table1[[#This Row],[Refunds]]</f>
        <v>4085</v>
      </c>
      <c r="I383">
        <f>Table1[[#This Row],[Net_Revenue]]/Table1[[#This Row],[Marketing_Spend]]</f>
        <v>3.6473214285714284</v>
      </c>
      <c r="J383">
        <f>Table1[[#This Row],[Marketing_Spend]]/Table1[[#This Row],[Web_Traffic]]</f>
        <v>0.19649122807017544</v>
      </c>
      <c r="K383" t="str">
        <f>TEXT(Table1[[#This Row],[Date]],"mmm")</f>
        <v>Apr</v>
      </c>
    </row>
    <row r="384" spans="1:11" x14ac:dyDescent="0.35">
      <c r="A384" s="1">
        <v>45778</v>
      </c>
      <c r="B384" t="s">
        <v>9</v>
      </c>
      <c r="C384" t="s">
        <v>10</v>
      </c>
      <c r="D384">
        <v>4300</v>
      </c>
      <c r="E384">
        <v>215</v>
      </c>
      <c r="F384">
        <v>1100</v>
      </c>
      <c r="G384">
        <v>5700</v>
      </c>
      <c r="H384">
        <f>Table1[[#This Row],[Gross_Revenue]]-Table1[[#This Row],[Refunds]]</f>
        <v>4085</v>
      </c>
      <c r="I384">
        <f>Table1[[#This Row],[Net_Revenue]]/Table1[[#This Row],[Marketing_Spend]]</f>
        <v>3.7136363636363638</v>
      </c>
      <c r="J384">
        <f>Table1[[#This Row],[Marketing_Spend]]/Table1[[#This Row],[Web_Traffic]]</f>
        <v>0.19298245614035087</v>
      </c>
      <c r="K384" t="str">
        <f>TEXT(Table1[[#This Row],[Date]],"mmm")</f>
        <v>May</v>
      </c>
    </row>
    <row r="385" spans="1:11" x14ac:dyDescent="0.35">
      <c r="A385" s="1">
        <v>45704</v>
      </c>
      <c r="B385" t="s">
        <v>7</v>
      </c>
      <c r="C385" t="s">
        <v>8</v>
      </c>
      <c r="D385">
        <v>4250</v>
      </c>
      <c r="E385">
        <v>212</v>
      </c>
      <c r="F385">
        <v>650</v>
      </c>
      <c r="G385">
        <v>3350</v>
      </c>
      <c r="H385">
        <f>Table1[[#This Row],[Gross_Revenue]]-Table1[[#This Row],[Refunds]]</f>
        <v>4038</v>
      </c>
      <c r="I385">
        <f>Table1[[#This Row],[Net_Revenue]]/Table1[[#This Row],[Marketing_Spend]]</f>
        <v>6.2123076923076921</v>
      </c>
      <c r="J385">
        <f>Table1[[#This Row],[Marketing_Spend]]/Table1[[#This Row],[Web_Traffic]]</f>
        <v>0.19402985074626866</v>
      </c>
      <c r="K385" t="str">
        <f>TEXT(Table1[[#This Row],[Date]],"mmm")</f>
        <v>Feb</v>
      </c>
    </row>
    <row r="386" spans="1:11" x14ac:dyDescent="0.35">
      <c r="A386" s="1">
        <v>45712</v>
      </c>
      <c r="B386" t="s">
        <v>9</v>
      </c>
      <c r="C386" t="s">
        <v>10</v>
      </c>
      <c r="D386">
        <v>4250</v>
      </c>
      <c r="E386">
        <v>212</v>
      </c>
      <c r="F386">
        <v>980</v>
      </c>
      <c r="G386">
        <v>4850</v>
      </c>
      <c r="H386">
        <f>Table1[[#This Row],[Gross_Revenue]]-Table1[[#This Row],[Refunds]]</f>
        <v>4038</v>
      </c>
      <c r="I386">
        <f>Table1[[#This Row],[Net_Revenue]]/Table1[[#This Row],[Marketing_Spend]]</f>
        <v>4.1204081632653065</v>
      </c>
      <c r="J386">
        <f>Table1[[#This Row],[Marketing_Spend]]/Table1[[#This Row],[Web_Traffic]]</f>
        <v>0.2020618556701031</v>
      </c>
      <c r="K386" t="str">
        <f>TEXT(Table1[[#This Row],[Date]],"mmm")</f>
        <v>Feb</v>
      </c>
    </row>
    <row r="387" spans="1:11" x14ac:dyDescent="0.35">
      <c r="A387" s="1">
        <v>45703</v>
      </c>
      <c r="B387" t="s">
        <v>7</v>
      </c>
      <c r="C387" t="s">
        <v>8</v>
      </c>
      <c r="D387">
        <v>4200</v>
      </c>
      <c r="E387">
        <v>210</v>
      </c>
      <c r="F387">
        <v>640</v>
      </c>
      <c r="G387">
        <v>3300</v>
      </c>
      <c r="H387">
        <f>Table1[[#This Row],[Gross_Revenue]]-Table1[[#This Row],[Refunds]]</f>
        <v>3990</v>
      </c>
      <c r="I387">
        <f>Table1[[#This Row],[Net_Revenue]]/Table1[[#This Row],[Marketing_Spend]]</f>
        <v>6.234375</v>
      </c>
      <c r="J387">
        <f>Table1[[#This Row],[Marketing_Spend]]/Table1[[#This Row],[Web_Traffic]]</f>
        <v>0.19393939393939394</v>
      </c>
      <c r="K387" t="str">
        <f>TEXT(Table1[[#This Row],[Date]],"mmm")</f>
        <v>Feb</v>
      </c>
    </row>
    <row r="388" spans="1:11" x14ac:dyDescent="0.35">
      <c r="A388" s="1">
        <v>45711</v>
      </c>
      <c r="B388" t="s">
        <v>9</v>
      </c>
      <c r="C388" t="s">
        <v>10</v>
      </c>
      <c r="D388">
        <v>4200</v>
      </c>
      <c r="E388">
        <v>210</v>
      </c>
      <c r="F388">
        <v>970</v>
      </c>
      <c r="G388">
        <v>4800</v>
      </c>
      <c r="H388">
        <f>Table1[[#This Row],[Gross_Revenue]]-Table1[[#This Row],[Refunds]]</f>
        <v>3990</v>
      </c>
      <c r="I388">
        <f>Table1[[#This Row],[Net_Revenue]]/Table1[[#This Row],[Marketing_Spend]]</f>
        <v>4.1134020618556697</v>
      </c>
      <c r="J388">
        <f>Table1[[#This Row],[Marketing_Spend]]/Table1[[#This Row],[Web_Traffic]]</f>
        <v>0.20208333333333334</v>
      </c>
      <c r="K388" t="str">
        <f>TEXT(Table1[[#This Row],[Date]],"mmm")</f>
        <v>Feb</v>
      </c>
    </row>
    <row r="389" spans="1:11" x14ac:dyDescent="0.35">
      <c r="A389" s="1">
        <v>45777</v>
      </c>
      <c r="B389" t="s">
        <v>9</v>
      </c>
      <c r="C389" t="s">
        <v>10</v>
      </c>
      <c r="D389">
        <v>4200</v>
      </c>
      <c r="E389">
        <v>210</v>
      </c>
      <c r="F389">
        <v>1100</v>
      </c>
      <c r="G389">
        <v>5600</v>
      </c>
      <c r="H389">
        <f>Table1[[#This Row],[Gross_Revenue]]-Table1[[#This Row],[Refunds]]</f>
        <v>3990</v>
      </c>
      <c r="I389">
        <f>Table1[[#This Row],[Net_Revenue]]/Table1[[#This Row],[Marketing_Spend]]</f>
        <v>3.6272727272727274</v>
      </c>
      <c r="J389">
        <f>Table1[[#This Row],[Marketing_Spend]]/Table1[[#This Row],[Web_Traffic]]</f>
        <v>0.19642857142857142</v>
      </c>
      <c r="K389" t="str">
        <f>TEXT(Table1[[#This Row],[Date]],"mmm")</f>
        <v>Apr</v>
      </c>
    </row>
    <row r="390" spans="1:11" x14ac:dyDescent="0.35">
      <c r="A390" s="1">
        <v>45702</v>
      </c>
      <c r="B390" t="s">
        <v>7</v>
      </c>
      <c r="C390" t="s">
        <v>8</v>
      </c>
      <c r="D390">
        <v>4150</v>
      </c>
      <c r="E390">
        <v>207</v>
      </c>
      <c r="F390">
        <v>630</v>
      </c>
      <c r="G390">
        <v>3250</v>
      </c>
      <c r="H390">
        <f>Table1[[#This Row],[Gross_Revenue]]-Table1[[#This Row],[Refunds]]</f>
        <v>3943</v>
      </c>
      <c r="I390">
        <f>Table1[[#This Row],[Net_Revenue]]/Table1[[#This Row],[Marketing_Spend]]</f>
        <v>6.2587301587301587</v>
      </c>
      <c r="J390">
        <f>Table1[[#This Row],[Marketing_Spend]]/Table1[[#This Row],[Web_Traffic]]</f>
        <v>0.19384615384615383</v>
      </c>
      <c r="K390" t="str">
        <f>TEXT(Table1[[#This Row],[Date]],"mmm")</f>
        <v>Feb</v>
      </c>
    </row>
    <row r="391" spans="1:11" x14ac:dyDescent="0.35">
      <c r="A391" s="1">
        <v>45710</v>
      </c>
      <c r="B391" t="s">
        <v>9</v>
      </c>
      <c r="C391" t="s">
        <v>10</v>
      </c>
      <c r="D391">
        <v>4150</v>
      </c>
      <c r="E391">
        <v>207</v>
      </c>
      <c r="F391">
        <v>960</v>
      </c>
      <c r="G391">
        <v>4750</v>
      </c>
      <c r="H391">
        <f>Table1[[#This Row],[Gross_Revenue]]-Table1[[#This Row],[Refunds]]</f>
        <v>3943</v>
      </c>
      <c r="I391">
        <f>Table1[[#This Row],[Net_Revenue]]/Table1[[#This Row],[Marketing_Spend]]</f>
        <v>4.1072916666666668</v>
      </c>
      <c r="J391">
        <f>Table1[[#This Row],[Marketing_Spend]]/Table1[[#This Row],[Web_Traffic]]</f>
        <v>0.20210526315789473</v>
      </c>
      <c r="K391" t="str">
        <f>TEXT(Table1[[#This Row],[Date]],"mmm")</f>
        <v>Feb</v>
      </c>
    </row>
    <row r="392" spans="1:11" x14ac:dyDescent="0.35">
      <c r="A392" s="1">
        <v>45701</v>
      </c>
      <c r="B392" t="s">
        <v>7</v>
      </c>
      <c r="C392" t="s">
        <v>8</v>
      </c>
      <c r="D392">
        <v>4100</v>
      </c>
      <c r="E392">
        <v>205</v>
      </c>
      <c r="F392">
        <v>620</v>
      </c>
      <c r="G392">
        <v>3200</v>
      </c>
      <c r="H392">
        <f>Table1[[#This Row],[Gross_Revenue]]-Table1[[#This Row],[Refunds]]</f>
        <v>3895</v>
      </c>
      <c r="I392">
        <f>Table1[[#This Row],[Net_Revenue]]/Table1[[#This Row],[Marketing_Spend]]</f>
        <v>6.282258064516129</v>
      </c>
      <c r="J392">
        <f>Table1[[#This Row],[Marketing_Spend]]/Table1[[#This Row],[Web_Traffic]]</f>
        <v>0.19375000000000001</v>
      </c>
      <c r="K392" t="str">
        <f>TEXT(Table1[[#This Row],[Date]],"mmm")</f>
        <v>Feb</v>
      </c>
    </row>
    <row r="393" spans="1:11" x14ac:dyDescent="0.35">
      <c r="A393" s="1">
        <v>45709</v>
      </c>
      <c r="B393" t="s">
        <v>9</v>
      </c>
      <c r="C393" t="s">
        <v>10</v>
      </c>
      <c r="D393">
        <v>4100</v>
      </c>
      <c r="E393">
        <v>205</v>
      </c>
      <c r="F393">
        <v>950</v>
      </c>
      <c r="G393">
        <v>4700</v>
      </c>
      <c r="H393">
        <f>Table1[[#This Row],[Gross_Revenue]]-Table1[[#This Row],[Refunds]]</f>
        <v>3895</v>
      </c>
      <c r="I393">
        <f>Table1[[#This Row],[Net_Revenue]]/Table1[[#This Row],[Marketing_Spend]]</f>
        <v>4.0999999999999996</v>
      </c>
      <c r="J393">
        <f>Table1[[#This Row],[Marketing_Spend]]/Table1[[#This Row],[Web_Traffic]]</f>
        <v>0.20212765957446807</v>
      </c>
      <c r="K393" t="str">
        <f>TEXT(Table1[[#This Row],[Date]],"mmm")</f>
        <v>Feb</v>
      </c>
    </row>
    <row r="394" spans="1:11" x14ac:dyDescent="0.35">
      <c r="A394" s="1">
        <v>45700</v>
      </c>
      <c r="B394" t="s">
        <v>7</v>
      </c>
      <c r="C394" t="s">
        <v>8</v>
      </c>
      <c r="D394">
        <v>4050</v>
      </c>
      <c r="E394">
        <v>202</v>
      </c>
      <c r="F394">
        <v>610</v>
      </c>
      <c r="G394">
        <v>3150</v>
      </c>
      <c r="H394">
        <f>Table1[[#This Row],[Gross_Revenue]]-Table1[[#This Row],[Refunds]]</f>
        <v>3848</v>
      </c>
      <c r="I394">
        <f>Table1[[#This Row],[Net_Revenue]]/Table1[[#This Row],[Marketing_Spend]]</f>
        <v>6.3081967213114751</v>
      </c>
      <c r="J394">
        <f>Table1[[#This Row],[Marketing_Spend]]/Table1[[#This Row],[Web_Traffic]]</f>
        <v>0.19365079365079366</v>
      </c>
      <c r="K394" t="str">
        <f>TEXT(Table1[[#This Row],[Date]],"mmm")</f>
        <v>Feb</v>
      </c>
    </row>
    <row r="395" spans="1:11" x14ac:dyDescent="0.35">
      <c r="A395" s="1">
        <v>45708</v>
      </c>
      <c r="B395" t="s">
        <v>9</v>
      </c>
      <c r="C395" t="s">
        <v>10</v>
      </c>
      <c r="D395">
        <v>4050</v>
      </c>
      <c r="E395">
        <v>202</v>
      </c>
      <c r="F395">
        <v>940</v>
      </c>
      <c r="G395">
        <v>4650</v>
      </c>
      <c r="H395">
        <f>Table1[[#This Row],[Gross_Revenue]]-Table1[[#This Row],[Refunds]]</f>
        <v>3848</v>
      </c>
      <c r="I395">
        <f>Table1[[#This Row],[Net_Revenue]]/Table1[[#This Row],[Marketing_Spend]]</f>
        <v>4.0936170212765957</v>
      </c>
      <c r="J395">
        <f>Table1[[#This Row],[Marketing_Spend]]/Table1[[#This Row],[Web_Traffic]]</f>
        <v>0.2021505376344086</v>
      </c>
      <c r="K395" t="str">
        <f>TEXT(Table1[[#This Row],[Date]],"mmm")</f>
        <v>Feb</v>
      </c>
    </row>
    <row r="396" spans="1:11" x14ac:dyDescent="0.35">
      <c r="A396" s="1">
        <v>45699</v>
      </c>
      <c r="B396" t="s">
        <v>7</v>
      </c>
      <c r="C396" t="s">
        <v>8</v>
      </c>
      <c r="D396">
        <v>4000</v>
      </c>
      <c r="E396">
        <v>200</v>
      </c>
      <c r="F396">
        <v>600</v>
      </c>
      <c r="G396">
        <v>3100</v>
      </c>
      <c r="H396">
        <f>Table1[[#This Row],[Gross_Revenue]]-Table1[[#This Row],[Refunds]]</f>
        <v>3800</v>
      </c>
      <c r="I396">
        <f>Table1[[#This Row],[Net_Revenue]]/Table1[[#This Row],[Marketing_Spend]]</f>
        <v>6.333333333333333</v>
      </c>
      <c r="J396">
        <f>Table1[[#This Row],[Marketing_Spend]]/Table1[[#This Row],[Web_Traffic]]</f>
        <v>0.19354838709677419</v>
      </c>
      <c r="K396" t="str">
        <f>TEXT(Table1[[#This Row],[Date]],"mmm")</f>
        <v>Feb</v>
      </c>
    </row>
    <row r="397" spans="1:11" x14ac:dyDescent="0.35">
      <c r="A397" s="1">
        <v>45707</v>
      </c>
      <c r="B397" t="s">
        <v>9</v>
      </c>
      <c r="C397" t="s">
        <v>10</v>
      </c>
      <c r="D397">
        <v>4000</v>
      </c>
      <c r="E397">
        <v>200</v>
      </c>
      <c r="F397">
        <v>930</v>
      </c>
      <c r="G397">
        <v>4600</v>
      </c>
      <c r="H397">
        <f>Table1[[#This Row],[Gross_Revenue]]-Table1[[#This Row],[Refunds]]</f>
        <v>3800</v>
      </c>
      <c r="I397">
        <f>Table1[[#This Row],[Net_Revenue]]/Table1[[#This Row],[Marketing_Spend]]</f>
        <v>4.086021505376344</v>
      </c>
      <c r="J397">
        <f>Table1[[#This Row],[Marketing_Spend]]/Table1[[#This Row],[Web_Traffic]]</f>
        <v>0.20217391304347826</v>
      </c>
      <c r="K397" t="str">
        <f>TEXT(Table1[[#This Row],[Date]],"mmm")</f>
        <v>Feb</v>
      </c>
    </row>
    <row r="398" spans="1:11" x14ac:dyDescent="0.35">
      <c r="A398" s="1">
        <v>45698</v>
      </c>
      <c r="B398" t="s">
        <v>7</v>
      </c>
      <c r="C398" t="s">
        <v>8</v>
      </c>
      <c r="D398">
        <v>3950</v>
      </c>
      <c r="E398">
        <v>197</v>
      </c>
      <c r="F398">
        <v>590</v>
      </c>
      <c r="G398">
        <v>3050</v>
      </c>
      <c r="H398">
        <f>Table1[[#This Row],[Gross_Revenue]]-Table1[[#This Row],[Refunds]]</f>
        <v>3753</v>
      </c>
      <c r="I398">
        <f>Table1[[#This Row],[Net_Revenue]]/Table1[[#This Row],[Marketing_Spend]]</f>
        <v>6.3610169491525426</v>
      </c>
      <c r="J398">
        <f>Table1[[#This Row],[Marketing_Spend]]/Table1[[#This Row],[Web_Traffic]]</f>
        <v>0.19344262295081968</v>
      </c>
      <c r="K398" t="str">
        <f>TEXT(Table1[[#This Row],[Date]],"mmm")</f>
        <v>Feb</v>
      </c>
    </row>
    <row r="399" spans="1:11" x14ac:dyDescent="0.35">
      <c r="A399" s="1">
        <v>45706</v>
      </c>
      <c r="B399" t="s">
        <v>9</v>
      </c>
      <c r="C399" t="s">
        <v>10</v>
      </c>
      <c r="D399">
        <v>3950</v>
      </c>
      <c r="E399">
        <v>197</v>
      </c>
      <c r="F399">
        <v>920</v>
      </c>
      <c r="G399">
        <v>4550</v>
      </c>
      <c r="H399">
        <f>Table1[[#This Row],[Gross_Revenue]]-Table1[[#This Row],[Refunds]]</f>
        <v>3753</v>
      </c>
      <c r="I399">
        <f>Table1[[#This Row],[Net_Revenue]]/Table1[[#This Row],[Marketing_Spend]]</f>
        <v>4.0793478260869565</v>
      </c>
      <c r="J399">
        <f>Table1[[#This Row],[Marketing_Spend]]/Table1[[#This Row],[Web_Traffic]]</f>
        <v>0.2021978021978022</v>
      </c>
      <c r="K399" t="str">
        <f>TEXT(Table1[[#This Row],[Date]],"mmm")</f>
        <v>Feb</v>
      </c>
    </row>
    <row r="400" spans="1:11" x14ac:dyDescent="0.35">
      <c r="A400" s="1">
        <v>45697</v>
      </c>
      <c r="B400" t="s">
        <v>7</v>
      </c>
      <c r="C400" t="s">
        <v>8</v>
      </c>
      <c r="D400">
        <v>3900</v>
      </c>
      <c r="E400">
        <v>195</v>
      </c>
      <c r="F400">
        <v>580</v>
      </c>
      <c r="G400">
        <v>3000</v>
      </c>
      <c r="H400">
        <f>Table1[[#This Row],[Gross_Revenue]]-Table1[[#This Row],[Refunds]]</f>
        <v>3705</v>
      </c>
      <c r="I400">
        <f>Table1[[#This Row],[Net_Revenue]]/Table1[[#This Row],[Marketing_Spend]]</f>
        <v>6.3879310344827589</v>
      </c>
      <c r="J400">
        <f>Table1[[#This Row],[Marketing_Spend]]/Table1[[#This Row],[Web_Traffic]]</f>
        <v>0.19333333333333333</v>
      </c>
      <c r="K400" t="str">
        <f>TEXT(Table1[[#This Row],[Date]],"mmm")</f>
        <v>Feb</v>
      </c>
    </row>
    <row r="401" spans="1:11" x14ac:dyDescent="0.35">
      <c r="A401" s="1">
        <v>45705</v>
      </c>
      <c r="B401" t="s">
        <v>9</v>
      </c>
      <c r="C401" t="s">
        <v>10</v>
      </c>
      <c r="D401">
        <v>3900</v>
      </c>
      <c r="E401">
        <v>195</v>
      </c>
      <c r="F401">
        <v>910</v>
      </c>
      <c r="G401">
        <v>4500</v>
      </c>
      <c r="H401">
        <f>Table1[[#This Row],[Gross_Revenue]]-Table1[[#This Row],[Refunds]]</f>
        <v>3705</v>
      </c>
      <c r="I401">
        <f>Table1[[#This Row],[Net_Revenue]]/Table1[[#This Row],[Marketing_Spend]]</f>
        <v>4.0714285714285712</v>
      </c>
      <c r="J401">
        <f>Table1[[#This Row],[Marketing_Spend]]/Table1[[#This Row],[Web_Traffic]]</f>
        <v>0.20222222222222222</v>
      </c>
      <c r="K401" t="str">
        <f>TEXT(Table1[[#This Row],[Date]],"mmm")</f>
        <v>Feb</v>
      </c>
    </row>
    <row r="402" spans="1:11" x14ac:dyDescent="0.35">
      <c r="A402" s="1">
        <v>45696</v>
      </c>
      <c r="B402" t="s">
        <v>7</v>
      </c>
      <c r="C402" t="s">
        <v>8</v>
      </c>
      <c r="D402">
        <v>3850</v>
      </c>
      <c r="E402">
        <v>192</v>
      </c>
      <c r="F402">
        <v>570</v>
      </c>
      <c r="G402">
        <v>2950</v>
      </c>
      <c r="H402">
        <f>Table1[[#This Row],[Gross_Revenue]]-Table1[[#This Row],[Refunds]]</f>
        <v>3658</v>
      </c>
      <c r="I402">
        <f>Table1[[#This Row],[Net_Revenue]]/Table1[[#This Row],[Marketing_Spend]]</f>
        <v>6.4175438596491228</v>
      </c>
      <c r="J402">
        <f>Table1[[#This Row],[Marketing_Spend]]/Table1[[#This Row],[Web_Traffic]]</f>
        <v>0.19322033898305085</v>
      </c>
      <c r="K402" t="str">
        <f>TEXT(Table1[[#This Row],[Date]],"mmm")</f>
        <v>Feb</v>
      </c>
    </row>
    <row r="403" spans="1:11" x14ac:dyDescent="0.35">
      <c r="A403" s="1">
        <v>45704</v>
      </c>
      <c r="B403" t="s">
        <v>9</v>
      </c>
      <c r="C403" t="s">
        <v>10</v>
      </c>
      <c r="D403">
        <v>3850</v>
      </c>
      <c r="E403">
        <v>192</v>
      </c>
      <c r="F403">
        <v>900</v>
      </c>
      <c r="G403">
        <v>4450</v>
      </c>
      <c r="H403">
        <f>Table1[[#This Row],[Gross_Revenue]]-Table1[[#This Row],[Refunds]]</f>
        <v>3658</v>
      </c>
      <c r="I403">
        <f>Table1[[#This Row],[Net_Revenue]]/Table1[[#This Row],[Marketing_Spend]]</f>
        <v>4.0644444444444447</v>
      </c>
      <c r="J403">
        <f>Table1[[#This Row],[Marketing_Spend]]/Table1[[#This Row],[Web_Traffic]]</f>
        <v>0.20224719101123595</v>
      </c>
      <c r="K403" t="str">
        <f>TEXT(Table1[[#This Row],[Date]],"mmm")</f>
        <v>Feb</v>
      </c>
    </row>
    <row r="404" spans="1:11" x14ac:dyDescent="0.35">
      <c r="A404" s="1">
        <v>45695</v>
      </c>
      <c r="B404" t="s">
        <v>7</v>
      </c>
      <c r="C404" t="s">
        <v>8</v>
      </c>
      <c r="D404">
        <v>3800</v>
      </c>
      <c r="E404">
        <v>190</v>
      </c>
      <c r="F404">
        <v>560</v>
      </c>
      <c r="G404">
        <v>2900</v>
      </c>
      <c r="H404">
        <f>Table1[[#This Row],[Gross_Revenue]]-Table1[[#This Row],[Refunds]]</f>
        <v>3610</v>
      </c>
      <c r="I404">
        <f>Table1[[#This Row],[Net_Revenue]]/Table1[[#This Row],[Marketing_Spend]]</f>
        <v>6.4464285714285712</v>
      </c>
      <c r="J404">
        <f>Table1[[#This Row],[Marketing_Spend]]/Table1[[#This Row],[Web_Traffic]]</f>
        <v>0.19310344827586207</v>
      </c>
      <c r="K404" t="str">
        <f>TEXT(Table1[[#This Row],[Date]],"mmm")</f>
        <v>Feb</v>
      </c>
    </row>
    <row r="405" spans="1:11" x14ac:dyDescent="0.35">
      <c r="A405" s="1">
        <v>45703</v>
      </c>
      <c r="B405" t="s">
        <v>9</v>
      </c>
      <c r="C405" t="s">
        <v>10</v>
      </c>
      <c r="D405">
        <v>3800</v>
      </c>
      <c r="E405">
        <v>190</v>
      </c>
      <c r="F405">
        <v>890</v>
      </c>
      <c r="G405">
        <v>4400</v>
      </c>
      <c r="H405">
        <f>Table1[[#This Row],[Gross_Revenue]]-Table1[[#This Row],[Refunds]]</f>
        <v>3610</v>
      </c>
      <c r="I405">
        <f>Table1[[#This Row],[Net_Revenue]]/Table1[[#This Row],[Marketing_Spend]]</f>
        <v>4.0561797752808992</v>
      </c>
      <c r="J405">
        <f>Table1[[#This Row],[Marketing_Spend]]/Table1[[#This Row],[Web_Traffic]]</f>
        <v>0.20227272727272727</v>
      </c>
      <c r="K405" t="str">
        <f>TEXT(Table1[[#This Row],[Date]],"mmm")</f>
        <v>Feb</v>
      </c>
    </row>
    <row r="406" spans="1:11" x14ac:dyDescent="0.35">
      <c r="A406" s="1">
        <v>45694</v>
      </c>
      <c r="B406" t="s">
        <v>7</v>
      </c>
      <c r="C406" t="s">
        <v>8</v>
      </c>
      <c r="D406">
        <v>3750</v>
      </c>
      <c r="E406">
        <v>187</v>
      </c>
      <c r="F406">
        <v>550</v>
      </c>
      <c r="G406">
        <v>2850</v>
      </c>
      <c r="H406">
        <f>Table1[[#This Row],[Gross_Revenue]]-Table1[[#This Row],[Refunds]]</f>
        <v>3563</v>
      </c>
      <c r="I406">
        <f>Table1[[#This Row],[Net_Revenue]]/Table1[[#This Row],[Marketing_Spend]]</f>
        <v>6.4781818181818185</v>
      </c>
      <c r="J406">
        <f>Table1[[#This Row],[Marketing_Spend]]/Table1[[#This Row],[Web_Traffic]]</f>
        <v>0.19298245614035087</v>
      </c>
      <c r="K406" t="str">
        <f>TEXT(Table1[[#This Row],[Date]],"mmm")</f>
        <v>Feb</v>
      </c>
    </row>
    <row r="407" spans="1:11" x14ac:dyDescent="0.35">
      <c r="A407" s="1">
        <v>45702</v>
      </c>
      <c r="B407" t="s">
        <v>9</v>
      </c>
      <c r="C407" t="s">
        <v>10</v>
      </c>
      <c r="D407">
        <v>3750</v>
      </c>
      <c r="E407">
        <v>187</v>
      </c>
      <c r="F407">
        <v>880</v>
      </c>
      <c r="G407">
        <v>4350</v>
      </c>
      <c r="H407">
        <f>Table1[[#This Row],[Gross_Revenue]]-Table1[[#This Row],[Refunds]]</f>
        <v>3563</v>
      </c>
      <c r="I407">
        <f>Table1[[#This Row],[Net_Revenue]]/Table1[[#This Row],[Marketing_Spend]]</f>
        <v>4.0488636363636363</v>
      </c>
      <c r="J407">
        <f>Table1[[#This Row],[Marketing_Spend]]/Table1[[#This Row],[Web_Traffic]]</f>
        <v>0.20229885057471264</v>
      </c>
      <c r="K407" t="str">
        <f>TEXT(Table1[[#This Row],[Date]],"mmm")</f>
        <v>Feb</v>
      </c>
    </row>
    <row r="408" spans="1:11" x14ac:dyDescent="0.35">
      <c r="A408" s="1">
        <v>45693</v>
      </c>
      <c r="B408" t="s">
        <v>7</v>
      </c>
      <c r="C408" t="s">
        <v>8</v>
      </c>
      <c r="D408">
        <v>3700</v>
      </c>
      <c r="E408">
        <v>185</v>
      </c>
      <c r="F408">
        <v>540</v>
      </c>
      <c r="G408">
        <v>2800</v>
      </c>
      <c r="H408">
        <f>Table1[[#This Row],[Gross_Revenue]]-Table1[[#This Row],[Refunds]]</f>
        <v>3515</v>
      </c>
      <c r="I408">
        <f>Table1[[#This Row],[Net_Revenue]]/Table1[[#This Row],[Marketing_Spend]]</f>
        <v>6.5092592592592595</v>
      </c>
      <c r="J408">
        <f>Table1[[#This Row],[Marketing_Spend]]/Table1[[#This Row],[Web_Traffic]]</f>
        <v>0.19285714285714287</v>
      </c>
      <c r="K408" t="str">
        <f>TEXT(Table1[[#This Row],[Date]],"mmm")</f>
        <v>Feb</v>
      </c>
    </row>
    <row r="409" spans="1:11" x14ac:dyDescent="0.35">
      <c r="A409" s="1">
        <v>45701</v>
      </c>
      <c r="B409" t="s">
        <v>9</v>
      </c>
      <c r="C409" t="s">
        <v>10</v>
      </c>
      <c r="D409">
        <v>3700</v>
      </c>
      <c r="E409">
        <v>185</v>
      </c>
      <c r="F409">
        <v>870</v>
      </c>
      <c r="G409">
        <v>4300</v>
      </c>
      <c r="H409">
        <f>Table1[[#This Row],[Gross_Revenue]]-Table1[[#This Row],[Refunds]]</f>
        <v>3515</v>
      </c>
      <c r="I409">
        <f>Table1[[#This Row],[Net_Revenue]]/Table1[[#This Row],[Marketing_Spend]]</f>
        <v>4.0402298850574709</v>
      </c>
      <c r="J409">
        <f>Table1[[#This Row],[Marketing_Spend]]/Table1[[#This Row],[Web_Traffic]]</f>
        <v>0.20232558139534884</v>
      </c>
      <c r="K409" t="str">
        <f>TEXT(Table1[[#This Row],[Date]],"mmm")</f>
        <v>Feb</v>
      </c>
    </row>
    <row r="410" spans="1:11" x14ac:dyDescent="0.35">
      <c r="A410" s="1">
        <v>45692</v>
      </c>
      <c r="B410" t="s">
        <v>7</v>
      </c>
      <c r="C410" t="s">
        <v>8</v>
      </c>
      <c r="D410">
        <v>3650</v>
      </c>
      <c r="E410">
        <v>182</v>
      </c>
      <c r="F410">
        <v>530</v>
      </c>
      <c r="G410">
        <v>2750</v>
      </c>
      <c r="H410">
        <f>Table1[[#This Row],[Gross_Revenue]]-Table1[[#This Row],[Refunds]]</f>
        <v>3468</v>
      </c>
      <c r="I410">
        <f>Table1[[#This Row],[Net_Revenue]]/Table1[[#This Row],[Marketing_Spend]]</f>
        <v>6.5433962264150942</v>
      </c>
      <c r="J410">
        <f>Table1[[#This Row],[Marketing_Spend]]/Table1[[#This Row],[Web_Traffic]]</f>
        <v>0.19272727272727272</v>
      </c>
      <c r="K410" t="str">
        <f>TEXT(Table1[[#This Row],[Date]],"mmm")</f>
        <v>Feb</v>
      </c>
    </row>
    <row r="411" spans="1:11" x14ac:dyDescent="0.35">
      <c r="A411" s="1">
        <v>45700</v>
      </c>
      <c r="B411" t="s">
        <v>9</v>
      </c>
      <c r="C411" t="s">
        <v>10</v>
      </c>
      <c r="D411">
        <v>3650</v>
      </c>
      <c r="E411">
        <v>182</v>
      </c>
      <c r="F411">
        <v>860</v>
      </c>
      <c r="G411">
        <v>4250</v>
      </c>
      <c r="H411">
        <f>Table1[[#This Row],[Gross_Revenue]]-Table1[[#This Row],[Refunds]]</f>
        <v>3468</v>
      </c>
      <c r="I411">
        <f>Table1[[#This Row],[Net_Revenue]]/Table1[[#This Row],[Marketing_Spend]]</f>
        <v>4.032558139534884</v>
      </c>
      <c r="J411">
        <f>Table1[[#This Row],[Marketing_Spend]]/Table1[[#This Row],[Web_Traffic]]</f>
        <v>0.2023529411764706</v>
      </c>
      <c r="K411" t="str">
        <f>TEXT(Table1[[#This Row],[Date]],"mmm")</f>
        <v>Feb</v>
      </c>
    </row>
    <row r="412" spans="1:11" x14ac:dyDescent="0.35">
      <c r="A412" s="1">
        <v>45691</v>
      </c>
      <c r="B412" t="s">
        <v>7</v>
      </c>
      <c r="C412" t="s">
        <v>8</v>
      </c>
      <c r="D412">
        <v>3600</v>
      </c>
      <c r="E412">
        <v>180</v>
      </c>
      <c r="F412">
        <v>520</v>
      </c>
      <c r="G412">
        <v>2700</v>
      </c>
      <c r="H412">
        <f>Table1[[#This Row],[Gross_Revenue]]-Table1[[#This Row],[Refunds]]</f>
        <v>3420</v>
      </c>
      <c r="I412">
        <f>Table1[[#This Row],[Net_Revenue]]/Table1[[#This Row],[Marketing_Spend]]</f>
        <v>6.5769230769230766</v>
      </c>
      <c r="J412">
        <f>Table1[[#This Row],[Marketing_Spend]]/Table1[[#This Row],[Web_Traffic]]</f>
        <v>0.19259259259259259</v>
      </c>
      <c r="K412" t="str">
        <f>TEXT(Table1[[#This Row],[Date]],"mmm")</f>
        <v>Feb</v>
      </c>
    </row>
    <row r="413" spans="1:11" x14ac:dyDescent="0.35">
      <c r="A413" s="1">
        <v>45699</v>
      </c>
      <c r="B413" t="s">
        <v>9</v>
      </c>
      <c r="C413" t="s">
        <v>10</v>
      </c>
      <c r="D413">
        <v>3600</v>
      </c>
      <c r="E413">
        <v>180</v>
      </c>
      <c r="F413">
        <v>850</v>
      </c>
      <c r="G413">
        <v>4200</v>
      </c>
      <c r="H413">
        <f>Table1[[#This Row],[Gross_Revenue]]-Table1[[#This Row],[Refunds]]</f>
        <v>3420</v>
      </c>
      <c r="I413">
        <f>Table1[[#This Row],[Net_Revenue]]/Table1[[#This Row],[Marketing_Spend]]</f>
        <v>4.0235294117647058</v>
      </c>
      <c r="J413">
        <f>Table1[[#This Row],[Marketing_Spend]]/Table1[[#This Row],[Web_Traffic]]</f>
        <v>0.20238095238095238</v>
      </c>
      <c r="K413" t="str">
        <f>TEXT(Table1[[#This Row],[Date]],"mmm")</f>
        <v>Feb</v>
      </c>
    </row>
    <row r="414" spans="1:11" x14ac:dyDescent="0.35">
      <c r="A414" s="1">
        <v>45690</v>
      </c>
      <c r="B414" t="s">
        <v>7</v>
      </c>
      <c r="C414" t="s">
        <v>8</v>
      </c>
      <c r="D414">
        <v>3550</v>
      </c>
      <c r="E414">
        <v>177</v>
      </c>
      <c r="F414">
        <v>510</v>
      </c>
      <c r="G414">
        <v>2650</v>
      </c>
      <c r="H414">
        <f>Table1[[#This Row],[Gross_Revenue]]-Table1[[#This Row],[Refunds]]</f>
        <v>3373</v>
      </c>
      <c r="I414">
        <f>Table1[[#This Row],[Net_Revenue]]/Table1[[#This Row],[Marketing_Spend]]</f>
        <v>6.613725490196078</v>
      </c>
      <c r="J414">
        <f>Table1[[#This Row],[Marketing_Spend]]/Table1[[#This Row],[Web_Traffic]]</f>
        <v>0.19245283018867926</v>
      </c>
      <c r="K414" t="str">
        <f>TEXT(Table1[[#This Row],[Date]],"mmm")</f>
        <v>Feb</v>
      </c>
    </row>
    <row r="415" spans="1:11" x14ac:dyDescent="0.35">
      <c r="A415" s="1">
        <v>45698</v>
      </c>
      <c r="B415" t="s">
        <v>9</v>
      </c>
      <c r="C415" t="s">
        <v>10</v>
      </c>
      <c r="D415">
        <v>3550</v>
      </c>
      <c r="E415">
        <v>177</v>
      </c>
      <c r="F415">
        <v>840</v>
      </c>
      <c r="G415">
        <v>4150</v>
      </c>
      <c r="H415">
        <f>Table1[[#This Row],[Gross_Revenue]]-Table1[[#This Row],[Refunds]]</f>
        <v>3373</v>
      </c>
      <c r="I415">
        <f>Table1[[#This Row],[Net_Revenue]]/Table1[[#This Row],[Marketing_Spend]]</f>
        <v>4.0154761904761909</v>
      </c>
      <c r="J415">
        <f>Table1[[#This Row],[Marketing_Spend]]/Table1[[#This Row],[Web_Traffic]]</f>
        <v>0.20240963855421687</v>
      </c>
      <c r="K415" t="str">
        <f>TEXT(Table1[[#This Row],[Date]],"mmm")</f>
        <v>Feb</v>
      </c>
    </row>
    <row r="416" spans="1:11" x14ac:dyDescent="0.35">
      <c r="A416" s="1">
        <v>45689</v>
      </c>
      <c r="B416" t="s">
        <v>7</v>
      </c>
      <c r="C416" t="s">
        <v>8</v>
      </c>
      <c r="D416">
        <v>3500</v>
      </c>
      <c r="E416">
        <v>175</v>
      </c>
      <c r="F416">
        <v>500</v>
      </c>
      <c r="G416">
        <v>2600</v>
      </c>
      <c r="H416">
        <f>Table1[[#This Row],[Gross_Revenue]]-Table1[[#This Row],[Refunds]]</f>
        <v>3325</v>
      </c>
      <c r="I416">
        <f>Table1[[#This Row],[Net_Revenue]]/Table1[[#This Row],[Marketing_Spend]]</f>
        <v>6.65</v>
      </c>
      <c r="J416">
        <f>Table1[[#This Row],[Marketing_Spend]]/Table1[[#This Row],[Web_Traffic]]</f>
        <v>0.19230769230769232</v>
      </c>
      <c r="K416" t="str">
        <f>TEXT(Table1[[#This Row],[Date]],"mmm")</f>
        <v>Feb</v>
      </c>
    </row>
    <row r="417" spans="1:11" x14ac:dyDescent="0.35">
      <c r="A417" s="1">
        <v>45697</v>
      </c>
      <c r="B417" t="s">
        <v>9</v>
      </c>
      <c r="C417" t="s">
        <v>10</v>
      </c>
      <c r="D417">
        <v>3500</v>
      </c>
      <c r="E417">
        <v>175</v>
      </c>
      <c r="F417">
        <v>830</v>
      </c>
      <c r="G417">
        <v>4100</v>
      </c>
      <c r="H417">
        <f>Table1[[#This Row],[Gross_Revenue]]-Table1[[#This Row],[Refunds]]</f>
        <v>3325</v>
      </c>
      <c r="I417">
        <f>Table1[[#This Row],[Net_Revenue]]/Table1[[#This Row],[Marketing_Spend]]</f>
        <v>4.0060240963855422</v>
      </c>
      <c r="J417">
        <f>Table1[[#This Row],[Marketing_Spend]]/Table1[[#This Row],[Web_Traffic]]</f>
        <v>0.20243902439024392</v>
      </c>
      <c r="K417" t="str">
        <f>TEXT(Table1[[#This Row],[Date]],"mmm")</f>
        <v>Feb</v>
      </c>
    </row>
    <row r="418" spans="1:11" x14ac:dyDescent="0.35">
      <c r="A418" s="1">
        <v>45696</v>
      </c>
      <c r="B418" t="s">
        <v>9</v>
      </c>
      <c r="C418" t="s">
        <v>10</v>
      </c>
      <c r="D418">
        <v>3450</v>
      </c>
      <c r="E418">
        <v>172</v>
      </c>
      <c r="F418">
        <v>820</v>
      </c>
      <c r="G418">
        <v>4050</v>
      </c>
      <c r="H418">
        <f>Table1[[#This Row],[Gross_Revenue]]-Table1[[#This Row],[Refunds]]</f>
        <v>3278</v>
      </c>
      <c r="I418">
        <f>Table1[[#This Row],[Net_Revenue]]/Table1[[#This Row],[Marketing_Spend]]</f>
        <v>3.9975609756097561</v>
      </c>
      <c r="J418">
        <f>Table1[[#This Row],[Marketing_Spend]]/Table1[[#This Row],[Web_Traffic]]</f>
        <v>0.20246913580246914</v>
      </c>
      <c r="K418" t="str">
        <f>TEXT(Table1[[#This Row],[Date]],"mmm")</f>
        <v>Feb</v>
      </c>
    </row>
    <row r="419" spans="1:11" x14ac:dyDescent="0.35">
      <c r="A419" s="1">
        <v>45661</v>
      </c>
      <c r="B419" t="s">
        <v>7</v>
      </c>
      <c r="C419" t="s">
        <v>8</v>
      </c>
      <c r="D419">
        <v>3400</v>
      </c>
      <c r="E419">
        <v>170</v>
      </c>
      <c r="F419">
        <v>550</v>
      </c>
      <c r="G419">
        <v>2700</v>
      </c>
      <c r="H419">
        <f>Table1[[#This Row],[Gross_Revenue]]-Table1[[#This Row],[Refunds]]</f>
        <v>3230</v>
      </c>
      <c r="I419">
        <f>Table1[[#This Row],[Net_Revenue]]/Table1[[#This Row],[Marketing_Spend]]</f>
        <v>5.872727272727273</v>
      </c>
      <c r="J419">
        <f>Table1[[#This Row],[Marketing_Spend]]/Table1[[#This Row],[Web_Traffic]]</f>
        <v>0.20370370370370369</v>
      </c>
      <c r="K419" t="str">
        <f>TEXT(Table1[[#This Row],[Date]],"mmm")</f>
        <v>Jan</v>
      </c>
    </row>
    <row r="420" spans="1:11" x14ac:dyDescent="0.35">
      <c r="A420" s="1">
        <v>45668</v>
      </c>
      <c r="B420" t="s">
        <v>7</v>
      </c>
      <c r="C420" t="s">
        <v>8</v>
      </c>
      <c r="D420">
        <v>3400</v>
      </c>
      <c r="E420">
        <v>170</v>
      </c>
      <c r="F420">
        <v>550</v>
      </c>
      <c r="G420">
        <v>2700</v>
      </c>
      <c r="H420">
        <f>Table1[[#This Row],[Gross_Revenue]]-Table1[[#This Row],[Refunds]]</f>
        <v>3230</v>
      </c>
      <c r="I420">
        <f>Table1[[#This Row],[Net_Revenue]]/Table1[[#This Row],[Marketing_Spend]]</f>
        <v>5.872727272727273</v>
      </c>
      <c r="J420">
        <f>Table1[[#This Row],[Marketing_Spend]]/Table1[[#This Row],[Web_Traffic]]</f>
        <v>0.20370370370370369</v>
      </c>
      <c r="K420" t="str">
        <f>TEXT(Table1[[#This Row],[Date]],"mmm")</f>
        <v>Jan</v>
      </c>
    </row>
    <row r="421" spans="1:11" x14ac:dyDescent="0.35">
      <c r="A421" s="1">
        <v>45675</v>
      </c>
      <c r="B421" t="s">
        <v>7</v>
      </c>
      <c r="C421" t="s">
        <v>8</v>
      </c>
      <c r="D421">
        <v>3400</v>
      </c>
      <c r="E421">
        <v>170</v>
      </c>
      <c r="F421">
        <v>550</v>
      </c>
      <c r="G421">
        <v>2700</v>
      </c>
      <c r="H421">
        <f>Table1[[#This Row],[Gross_Revenue]]-Table1[[#This Row],[Refunds]]</f>
        <v>3230</v>
      </c>
      <c r="I421">
        <f>Table1[[#This Row],[Net_Revenue]]/Table1[[#This Row],[Marketing_Spend]]</f>
        <v>5.872727272727273</v>
      </c>
      <c r="J421">
        <f>Table1[[#This Row],[Marketing_Spend]]/Table1[[#This Row],[Web_Traffic]]</f>
        <v>0.20370370370370369</v>
      </c>
      <c r="K421" t="str">
        <f>TEXT(Table1[[#This Row],[Date]],"mmm")</f>
        <v>Jan</v>
      </c>
    </row>
    <row r="422" spans="1:11" x14ac:dyDescent="0.35">
      <c r="A422" s="1">
        <v>45682</v>
      </c>
      <c r="B422" t="s">
        <v>7</v>
      </c>
      <c r="C422" t="s">
        <v>8</v>
      </c>
      <c r="D422">
        <v>3400</v>
      </c>
      <c r="E422">
        <v>170</v>
      </c>
      <c r="F422">
        <v>550</v>
      </c>
      <c r="G422">
        <v>2700</v>
      </c>
      <c r="H422">
        <f>Table1[[#This Row],[Gross_Revenue]]-Table1[[#This Row],[Refunds]]</f>
        <v>3230</v>
      </c>
      <c r="I422">
        <f>Table1[[#This Row],[Net_Revenue]]/Table1[[#This Row],[Marketing_Spend]]</f>
        <v>5.872727272727273</v>
      </c>
      <c r="J422">
        <f>Table1[[#This Row],[Marketing_Spend]]/Table1[[#This Row],[Web_Traffic]]</f>
        <v>0.20370370370370369</v>
      </c>
      <c r="K422" t="str">
        <f>TEXT(Table1[[#This Row],[Date]],"mmm")</f>
        <v>Jan</v>
      </c>
    </row>
    <row r="423" spans="1:11" x14ac:dyDescent="0.35">
      <c r="A423" s="1">
        <v>45695</v>
      </c>
      <c r="B423" t="s">
        <v>9</v>
      </c>
      <c r="C423" t="s">
        <v>10</v>
      </c>
      <c r="D423">
        <v>3400</v>
      </c>
      <c r="E423">
        <v>170</v>
      </c>
      <c r="F423">
        <v>810</v>
      </c>
      <c r="G423">
        <v>4000</v>
      </c>
      <c r="H423">
        <f>Table1[[#This Row],[Gross_Revenue]]-Table1[[#This Row],[Refunds]]</f>
        <v>3230</v>
      </c>
      <c r="I423">
        <f>Table1[[#This Row],[Net_Revenue]]/Table1[[#This Row],[Marketing_Spend]]</f>
        <v>3.9876543209876543</v>
      </c>
      <c r="J423">
        <f>Table1[[#This Row],[Marketing_Spend]]/Table1[[#This Row],[Web_Traffic]]</f>
        <v>0.20250000000000001</v>
      </c>
      <c r="K423" t="str">
        <f>TEXT(Table1[[#This Row],[Date]],"mmm")</f>
        <v>Feb</v>
      </c>
    </row>
    <row r="424" spans="1:11" x14ac:dyDescent="0.35">
      <c r="A424" s="1">
        <v>45694</v>
      </c>
      <c r="B424" t="s">
        <v>9</v>
      </c>
      <c r="C424" t="s">
        <v>10</v>
      </c>
      <c r="D424">
        <v>3350</v>
      </c>
      <c r="E424">
        <v>167</v>
      </c>
      <c r="F424">
        <v>800</v>
      </c>
      <c r="G424">
        <v>3950</v>
      </c>
      <c r="H424">
        <f>Table1[[#This Row],[Gross_Revenue]]-Table1[[#This Row],[Refunds]]</f>
        <v>3183</v>
      </c>
      <c r="I424">
        <f>Table1[[#This Row],[Net_Revenue]]/Table1[[#This Row],[Marketing_Spend]]</f>
        <v>3.9787499999999998</v>
      </c>
      <c r="J424">
        <f>Table1[[#This Row],[Marketing_Spend]]/Table1[[#This Row],[Web_Traffic]]</f>
        <v>0.20253164556962025</v>
      </c>
      <c r="K424" t="str">
        <f>TEXT(Table1[[#This Row],[Date]],"mmm")</f>
        <v>Feb</v>
      </c>
    </row>
    <row r="425" spans="1:11" x14ac:dyDescent="0.35">
      <c r="A425" s="1">
        <v>45660</v>
      </c>
      <c r="B425" t="s">
        <v>7</v>
      </c>
      <c r="C425" t="s">
        <v>8</v>
      </c>
      <c r="D425">
        <v>3300</v>
      </c>
      <c r="E425">
        <v>165</v>
      </c>
      <c r="F425">
        <v>520</v>
      </c>
      <c r="G425">
        <v>2600</v>
      </c>
      <c r="H425">
        <f>Table1[[#This Row],[Gross_Revenue]]-Table1[[#This Row],[Refunds]]</f>
        <v>3135</v>
      </c>
      <c r="I425">
        <f>Table1[[#This Row],[Net_Revenue]]/Table1[[#This Row],[Marketing_Spend]]</f>
        <v>6.0288461538461542</v>
      </c>
      <c r="J425">
        <f>Table1[[#This Row],[Marketing_Spend]]/Table1[[#This Row],[Web_Traffic]]</f>
        <v>0.2</v>
      </c>
      <c r="K425" t="str">
        <f>TEXT(Table1[[#This Row],[Date]],"mmm")</f>
        <v>Jan</v>
      </c>
    </row>
    <row r="426" spans="1:11" x14ac:dyDescent="0.35">
      <c r="A426" s="1">
        <v>45667</v>
      </c>
      <c r="B426" t="s">
        <v>7</v>
      </c>
      <c r="C426" t="s">
        <v>8</v>
      </c>
      <c r="D426">
        <v>3300</v>
      </c>
      <c r="E426">
        <v>165</v>
      </c>
      <c r="F426">
        <v>520</v>
      </c>
      <c r="G426">
        <v>2600</v>
      </c>
      <c r="H426">
        <f>Table1[[#This Row],[Gross_Revenue]]-Table1[[#This Row],[Refunds]]</f>
        <v>3135</v>
      </c>
      <c r="I426">
        <f>Table1[[#This Row],[Net_Revenue]]/Table1[[#This Row],[Marketing_Spend]]</f>
        <v>6.0288461538461542</v>
      </c>
      <c r="J426">
        <f>Table1[[#This Row],[Marketing_Spend]]/Table1[[#This Row],[Web_Traffic]]</f>
        <v>0.2</v>
      </c>
      <c r="K426" t="str">
        <f>TEXT(Table1[[#This Row],[Date]],"mmm")</f>
        <v>Jan</v>
      </c>
    </row>
    <row r="427" spans="1:11" x14ac:dyDescent="0.35">
      <c r="A427" s="1">
        <v>45674</v>
      </c>
      <c r="B427" t="s">
        <v>7</v>
      </c>
      <c r="C427" t="s">
        <v>8</v>
      </c>
      <c r="D427">
        <v>3300</v>
      </c>
      <c r="E427">
        <v>165</v>
      </c>
      <c r="F427">
        <v>520</v>
      </c>
      <c r="G427">
        <v>2600</v>
      </c>
      <c r="H427">
        <f>Table1[[#This Row],[Gross_Revenue]]-Table1[[#This Row],[Refunds]]</f>
        <v>3135</v>
      </c>
      <c r="I427">
        <f>Table1[[#This Row],[Net_Revenue]]/Table1[[#This Row],[Marketing_Spend]]</f>
        <v>6.0288461538461542</v>
      </c>
      <c r="J427">
        <f>Table1[[#This Row],[Marketing_Spend]]/Table1[[#This Row],[Web_Traffic]]</f>
        <v>0.2</v>
      </c>
      <c r="K427" t="str">
        <f>TEXT(Table1[[#This Row],[Date]],"mmm")</f>
        <v>Jan</v>
      </c>
    </row>
    <row r="428" spans="1:11" x14ac:dyDescent="0.35">
      <c r="A428" s="1">
        <v>45681</v>
      </c>
      <c r="B428" t="s">
        <v>7</v>
      </c>
      <c r="C428" t="s">
        <v>8</v>
      </c>
      <c r="D428">
        <v>3300</v>
      </c>
      <c r="E428">
        <v>165</v>
      </c>
      <c r="F428">
        <v>520</v>
      </c>
      <c r="G428">
        <v>2600</v>
      </c>
      <c r="H428">
        <f>Table1[[#This Row],[Gross_Revenue]]-Table1[[#This Row],[Refunds]]</f>
        <v>3135</v>
      </c>
      <c r="I428">
        <f>Table1[[#This Row],[Net_Revenue]]/Table1[[#This Row],[Marketing_Spend]]</f>
        <v>6.0288461538461542</v>
      </c>
      <c r="J428">
        <f>Table1[[#This Row],[Marketing_Spend]]/Table1[[#This Row],[Web_Traffic]]</f>
        <v>0.2</v>
      </c>
      <c r="K428" t="str">
        <f>TEXT(Table1[[#This Row],[Date]],"mmm")</f>
        <v>Jan</v>
      </c>
    </row>
    <row r="429" spans="1:11" x14ac:dyDescent="0.35">
      <c r="A429" s="1">
        <v>45688</v>
      </c>
      <c r="B429" t="s">
        <v>7</v>
      </c>
      <c r="C429" t="s">
        <v>8</v>
      </c>
      <c r="D429">
        <v>3300</v>
      </c>
      <c r="E429">
        <v>165</v>
      </c>
      <c r="F429">
        <v>520</v>
      </c>
      <c r="G429">
        <v>2600</v>
      </c>
      <c r="H429">
        <f>Table1[[#This Row],[Gross_Revenue]]-Table1[[#This Row],[Refunds]]</f>
        <v>3135</v>
      </c>
      <c r="I429">
        <f>Table1[[#This Row],[Net_Revenue]]/Table1[[#This Row],[Marketing_Spend]]</f>
        <v>6.0288461538461542</v>
      </c>
      <c r="J429">
        <f>Table1[[#This Row],[Marketing_Spend]]/Table1[[#This Row],[Web_Traffic]]</f>
        <v>0.2</v>
      </c>
      <c r="K429" t="str">
        <f>TEXT(Table1[[#This Row],[Date]],"mmm")</f>
        <v>Jan</v>
      </c>
    </row>
    <row r="430" spans="1:11" x14ac:dyDescent="0.35">
      <c r="A430" s="1">
        <v>45693</v>
      </c>
      <c r="B430" t="s">
        <v>9</v>
      </c>
      <c r="C430" t="s">
        <v>10</v>
      </c>
      <c r="D430">
        <v>3300</v>
      </c>
      <c r="E430">
        <v>165</v>
      </c>
      <c r="F430">
        <v>790</v>
      </c>
      <c r="G430">
        <v>3900</v>
      </c>
      <c r="H430">
        <f>Table1[[#This Row],[Gross_Revenue]]-Table1[[#This Row],[Refunds]]</f>
        <v>3135</v>
      </c>
      <c r="I430">
        <f>Table1[[#This Row],[Net_Revenue]]/Table1[[#This Row],[Marketing_Spend]]</f>
        <v>3.9683544303797467</v>
      </c>
      <c r="J430">
        <f>Table1[[#This Row],[Marketing_Spend]]/Table1[[#This Row],[Web_Traffic]]</f>
        <v>0.20256410256410257</v>
      </c>
      <c r="K430" t="str">
        <f>TEXT(Table1[[#This Row],[Date]],"mmm")</f>
        <v>Feb</v>
      </c>
    </row>
    <row r="431" spans="1:11" x14ac:dyDescent="0.35">
      <c r="A431" s="1">
        <v>45664</v>
      </c>
      <c r="B431" t="s">
        <v>7</v>
      </c>
      <c r="C431" t="s">
        <v>8</v>
      </c>
      <c r="D431">
        <v>3250</v>
      </c>
      <c r="E431">
        <v>162</v>
      </c>
      <c r="F431">
        <v>500</v>
      </c>
      <c r="G431">
        <v>2550</v>
      </c>
      <c r="H431">
        <f>Table1[[#This Row],[Gross_Revenue]]-Table1[[#This Row],[Refunds]]</f>
        <v>3088</v>
      </c>
      <c r="I431">
        <f>Table1[[#This Row],[Net_Revenue]]/Table1[[#This Row],[Marketing_Spend]]</f>
        <v>6.1760000000000002</v>
      </c>
      <c r="J431">
        <f>Table1[[#This Row],[Marketing_Spend]]/Table1[[#This Row],[Web_Traffic]]</f>
        <v>0.19607843137254902</v>
      </c>
      <c r="K431" t="str">
        <f>TEXT(Table1[[#This Row],[Date]],"mmm")</f>
        <v>Jan</v>
      </c>
    </row>
    <row r="432" spans="1:11" x14ac:dyDescent="0.35">
      <c r="A432" s="1">
        <v>45671</v>
      </c>
      <c r="B432" t="s">
        <v>7</v>
      </c>
      <c r="C432" t="s">
        <v>8</v>
      </c>
      <c r="D432">
        <v>3250</v>
      </c>
      <c r="E432">
        <v>162</v>
      </c>
      <c r="F432">
        <v>500</v>
      </c>
      <c r="G432">
        <v>2550</v>
      </c>
      <c r="H432">
        <f>Table1[[#This Row],[Gross_Revenue]]-Table1[[#This Row],[Refunds]]</f>
        <v>3088</v>
      </c>
      <c r="I432">
        <f>Table1[[#This Row],[Net_Revenue]]/Table1[[#This Row],[Marketing_Spend]]</f>
        <v>6.1760000000000002</v>
      </c>
      <c r="J432">
        <f>Table1[[#This Row],[Marketing_Spend]]/Table1[[#This Row],[Web_Traffic]]</f>
        <v>0.19607843137254902</v>
      </c>
      <c r="K432" t="str">
        <f>TEXT(Table1[[#This Row],[Date]],"mmm")</f>
        <v>Jan</v>
      </c>
    </row>
    <row r="433" spans="1:11" x14ac:dyDescent="0.35">
      <c r="A433" s="1">
        <v>45678</v>
      </c>
      <c r="B433" t="s">
        <v>7</v>
      </c>
      <c r="C433" t="s">
        <v>8</v>
      </c>
      <c r="D433">
        <v>3250</v>
      </c>
      <c r="E433">
        <v>162</v>
      </c>
      <c r="F433">
        <v>500</v>
      </c>
      <c r="G433">
        <v>2550</v>
      </c>
      <c r="H433">
        <f>Table1[[#This Row],[Gross_Revenue]]-Table1[[#This Row],[Refunds]]</f>
        <v>3088</v>
      </c>
      <c r="I433">
        <f>Table1[[#This Row],[Net_Revenue]]/Table1[[#This Row],[Marketing_Spend]]</f>
        <v>6.1760000000000002</v>
      </c>
      <c r="J433">
        <f>Table1[[#This Row],[Marketing_Spend]]/Table1[[#This Row],[Web_Traffic]]</f>
        <v>0.19607843137254902</v>
      </c>
      <c r="K433" t="str">
        <f>TEXT(Table1[[#This Row],[Date]],"mmm")</f>
        <v>Jan</v>
      </c>
    </row>
    <row r="434" spans="1:11" x14ac:dyDescent="0.35">
      <c r="A434" s="1">
        <v>45685</v>
      </c>
      <c r="B434" t="s">
        <v>7</v>
      </c>
      <c r="C434" t="s">
        <v>8</v>
      </c>
      <c r="D434">
        <v>3250</v>
      </c>
      <c r="E434">
        <v>162</v>
      </c>
      <c r="F434">
        <v>500</v>
      </c>
      <c r="G434">
        <v>2550</v>
      </c>
      <c r="H434">
        <f>Table1[[#This Row],[Gross_Revenue]]-Table1[[#This Row],[Refunds]]</f>
        <v>3088</v>
      </c>
      <c r="I434">
        <f>Table1[[#This Row],[Net_Revenue]]/Table1[[#This Row],[Marketing_Spend]]</f>
        <v>6.1760000000000002</v>
      </c>
      <c r="J434">
        <f>Table1[[#This Row],[Marketing_Spend]]/Table1[[#This Row],[Web_Traffic]]</f>
        <v>0.19607843137254902</v>
      </c>
      <c r="K434" t="str">
        <f>TEXT(Table1[[#This Row],[Date]],"mmm")</f>
        <v>Jan</v>
      </c>
    </row>
    <row r="435" spans="1:11" x14ac:dyDescent="0.35">
      <c r="A435" s="1">
        <v>45692</v>
      </c>
      <c r="B435" t="s">
        <v>9</v>
      </c>
      <c r="C435" t="s">
        <v>10</v>
      </c>
      <c r="D435">
        <v>3250</v>
      </c>
      <c r="E435">
        <v>162</v>
      </c>
      <c r="F435">
        <v>780</v>
      </c>
      <c r="G435">
        <v>3850</v>
      </c>
      <c r="H435">
        <f>Table1[[#This Row],[Gross_Revenue]]-Table1[[#This Row],[Refunds]]</f>
        <v>3088</v>
      </c>
      <c r="I435">
        <f>Table1[[#This Row],[Net_Revenue]]/Table1[[#This Row],[Marketing_Spend]]</f>
        <v>3.9589743589743591</v>
      </c>
      <c r="J435">
        <f>Table1[[#This Row],[Marketing_Spend]]/Table1[[#This Row],[Web_Traffic]]</f>
        <v>0.20259740259740261</v>
      </c>
      <c r="K435" t="str">
        <f>TEXT(Table1[[#This Row],[Date]],"mmm")</f>
        <v>Feb</v>
      </c>
    </row>
    <row r="436" spans="1:11" x14ac:dyDescent="0.35">
      <c r="A436" s="1">
        <v>45658</v>
      </c>
      <c r="B436" t="s">
        <v>7</v>
      </c>
      <c r="C436" t="s">
        <v>8</v>
      </c>
      <c r="D436">
        <v>3200</v>
      </c>
      <c r="E436">
        <v>160</v>
      </c>
      <c r="F436">
        <v>500</v>
      </c>
      <c r="G436">
        <v>2500</v>
      </c>
      <c r="H436">
        <f>Table1[[#This Row],[Gross_Revenue]]-Table1[[#This Row],[Refunds]]</f>
        <v>3040</v>
      </c>
      <c r="I436">
        <f>Table1[[#This Row],[Net_Revenue]]/Table1[[#This Row],[Marketing_Spend]]</f>
        <v>6.08</v>
      </c>
      <c r="J436">
        <f>Table1[[#This Row],[Marketing_Spend]]/Table1[[#This Row],[Web_Traffic]]</f>
        <v>0.2</v>
      </c>
      <c r="K436" t="str">
        <f>TEXT(Table1[[#This Row],[Date]],"mmm")</f>
        <v>Jan</v>
      </c>
    </row>
    <row r="437" spans="1:11" x14ac:dyDescent="0.35">
      <c r="A437" s="1">
        <v>45665</v>
      </c>
      <c r="B437" t="s">
        <v>7</v>
      </c>
      <c r="C437" t="s">
        <v>8</v>
      </c>
      <c r="D437">
        <v>3200</v>
      </c>
      <c r="E437">
        <v>160</v>
      </c>
      <c r="F437">
        <v>500</v>
      </c>
      <c r="G437">
        <v>2500</v>
      </c>
      <c r="H437">
        <f>Table1[[#This Row],[Gross_Revenue]]-Table1[[#This Row],[Refunds]]</f>
        <v>3040</v>
      </c>
      <c r="I437">
        <f>Table1[[#This Row],[Net_Revenue]]/Table1[[#This Row],[Marketing_Spend]]</f>
        <v>6.08</v>
      </c>
      <c r="J437">
        <f>Table1[[#This Row],[Marketing_Spend]]/Table1[[#This Row],[Web_Traffic]]</f>
        <v>0.2</v>
      </c>
      <c r="K437" t="str">
        <f>TEXT(Table1[[#This Row],[Date]],"mmm")</f>
        <v>Jan</v>
      </c>
    </row>
    <row r="438" spans="1:11" x14ac:dyDescent="0.35">
      <c r="A438" s="1">
        <v>45672</v>
      </c>
      <c r="B438" t="s">
        <v>7</v>
      </c>
      <c r="C438" t="s">
        <v>8</v>
      </c>
      <c r="D438">
        <v>3200</v>
      </c>
      <c r="E438">
        <v>160</v>
      </c>
      <c r="F438">
        <v>500</v>
      </c>
      <c r="G438">
        <v>2500</v>
      </c>
      <c r="H438">
        <f>Table1[[#This Row],[Gross_Revenue]]-Table1[[#This Row],[Refunds]]</f>
        <v>3040</v>
      </c>
      <c r="I438">
        <f>Table1[[#This Row],[Net_Revenue]]/Table1[[#This Row],[Marketing_Spend]]</f>
        <v>6.08</v>
      </c>
      <c r="J438">
        <f>Table1[[#This Row],[Marketing_Spend]]/Table1[[#This Row],[Web_Traffic]]</f>
        <v>0.2</v>
      </c>
      <c r="K438" t="str">
        <f>TEXT(Table1[[#This Row],[Date]],"mmm")</f>
        <v>Jan</v>
      </c>
    </row>
    <row r="439" spans="1:11" x14ac:dyDescent="0.35">
      <c r="A439" s="1">
        <v>45679</v>
      </c>
      <c r="B439" t="s">
        <v>7</v>
      </c>
      <c r="C439" t="s">
        <v>8</v>
      </c>
      <c r="D439">
        <v>3200</v>
      </c>
      <c r="E439">
        <v>160</v>
      </c>
      <c r="F439">
        <v>500</v>
      </c>
      <c r="G439">
        <v>2500</v>
      </c>
      <c r="H439">
        <f>Table1[[#This Row],[Gross_Revenue]]-Table1[[#This Row],[Refunds]]</f>
        <v>3040</v>
      </c>
      <c r="I439">
        <f>Table1[[#This Row],[Net_Revenue]]/Table1[[#This Row],[Marketing_Spend]]</f>
        <v>6.08</v>
      </c>
      <c r="J439">
        <f>Table1[[#This Row],[Marketing_Spend]]/Table1[[#This Row],[Web_Traffic]]</f>
        <v>0.2</v>
      </c>
      <c r="K439" t="str">
        <f>TEXT(Table1[[#This Row],[Date]],"mmm")</f>
        <v>Jan</v>
      </c>
    </row>
    <row r="440" spans="1:11" x14ac:dyDescent="0.35">
      <c r="A440" s="1">
        <v>45686</v>
      </c>
      <c r="B440" t="s">
        <v>7</v>
      </c>
      <c r="C440" t="s">
        <v>8</v>
      </c>
      <c r="D440">
        <v>3200</v>
      </c>
      <c r="E440">
        <v>160</v>
      </c>
      <c r="F440">
        <v>500</v>
      </c>
      <c r="G440">
        <v>2500</v>
      </c>
      <c r="H440">
        <f>Table1[[#This Row],[Gross_Revenue]]-Table1[[#This Row],[Refunds]]</f>
        <v>3040</v>
      </c>
      <c r="I440">
        <f>Table1[[#This Row],[Net_Revenue]]/Table1[[#This Row],[Marketing_Spend]]</f>
        <v>6.08</v>
      </c>
      <c r="J440">
        <f>Table1[[#This Row],[Marketing_Spend]]/Table1[[#This Row],[Web_Traffic]]</f>
        <v>0.2</v>
      </c>
      <c r="K440" t="str">
        <f>TEXT(Table1[[#This Row],[Date]],"mmm")</f>
        <v>Jan</v>
      </c>
    </row>
    <row r="441" spans="1:11" x14ac:dyDescent="0.35">
      <c r="A441" s="1">
        <v>45691</v>
      </c>
      <c r="B441" t="s">
        <v>9</v>
      </c>
      <c r="C441" t="s">
        <v>10</v>
      </c>
      <c r="D441">
        <v>3200</v>
      </c>
      <c r="E441">
        <v>160</v>
      </c>
      <c r="F441">
        <v>770</v>
      </c>
      <c r="G441">
        <v>3800</v>
      </c>
      <c r="H441">
        <f>Table1[[#This Row],[Gross_Revenue]]-Table1[[#This Row],[Refunds]]</f>
        <v>3040</v>
      </c>
      <c r="I441">
        <f>Table1[[#This Row],[Net_Revenue]]/Table1[[#This Row],[Marketing_Spend]]</f>
        <v>3.948051948051948</v>
      </c>
      <c r="J441">
        <f>Table1[[#This Row],[Marketing_Spend]]/Table1[[#This Row],[Web_Traffic]]</f>
        <v>0.20263157894736841</v>
      </c>
      <c r="K441" t="str">
        <f>TEXT(Table1[[#This Row],[Date]],"mmm")</f>
        <v>Feb</v>
      </c>
    </row>
    <row r="442" spans="1:11" x14ac:dyDescent="0.35">
      <c r="A442" s="1">
        <v>45659</v>
      </c>
      <c r="B442" t="s">
        <v>7</v>
      </c>
      <c r="C442" t="s">
        <v>8</v>
      </c>
      <c r="D442">
        <v>3150</v>
      </c>
      <c r="E442">
        <v>150</v>
      </c>
      <c r="F442">
        <v>480</v>
      </c>
      <c r="G442">
        <v>2450</v>
      </c>
      <c r="H442">
        <f>Table1[[#This Row],[Gross_Revenue]]-Table1[[#This Row],[Refunds]]</f>
        <v>3000</v>
      </c>
      <c r="I442">
        <f>Table1[[#This Row],[Net_Revenue]]/Table1[[#This Row],[Marketing_Spend]]</f>
        <v>6.25</v>
      </c>
      <c r="J442">
        <f>Table1[[#This Row],[Marketing_Spend]]/Table1[[#This Row],[Web_Traffic]]</f>
        <v>0.19591836734693877</v>
      </c>
      <c r="K442" t="str">
        <f>TEXT(Table1[[#This Row],[Date]],"mmm")</f>
        <v>Jan</v>
      </c>
    </row>
    <row r="443" spans="1:11" x14ac:dyDescent="0.35">
      <c r="A443" s="1">
        <v>45666</v>
      </c>
      <c r="B443" t="s">
        <v>7</v>
      </c>
      <c r="C443" t="s">
        <v>8</v>
      </c>
      <c r="D443">
        <v>3150</v>
      </c>
      <c r="E443">
        <v>150</v>
      </c>
      <c r="F443">
        <v>480</v>
      </c>
      <c r="G443">
        <v>2450</v>
      </c>
      <c r="H443">
        <f>Table1[[#This Row],[Gross_Revenue]]-Table1[[#This Row],[Refunds]]</f>
        <v>3000</v>
      </c>
      <c r="I443">
        <f>Table1[[#This Row],[Net_Revenue]]/Table1[[#This Row],[Marketing_Spend]]</f>
        <v>6.25</v>
      </c>
      <c r="J443">
        <f>Table1[[#This Row],[Marketing_Spend]]/Table1[[#This Row],[Web_Traffic]]</f>
        <v>0.19591836734693877</v>
      </c>
      <c r="K443" t="str">
        <f>TEXT(Table1[[#This Row],[Date]],"mmm")</f>
        <v>Jan</v>
      </c>
    </row>
    <row r="444" spans="1:11" x14ac:dyDescent="0.35">
      <c r="A444" s="1">
        <v>45673</v>
      </c>
      <c r="B444" t="s">
        <v>7</v>
      </c>
      <c r="C444" t="s">
        <v>8</v>
      </c>
      <c r="D444">
        <v>3150</v>
      </c>
      <c r="E444">
        <v>150</v>
      </c>
      <c r="F444">
        <v>480</v>
      </c>
      <c r="G444">
        <v>2450</v>
      </c>
      <c r="H444">
        <f>Table1[[#This Row],[Gross_Revenue]]-Table1[[#This Row],[Refunds]]</f>
        <v>3000</v>
      </c>
      <c r="I444">
        <f>Table1[[#This Row],[Net_Revenue]]/Table1[[#This Row],[Marketing_Spend]]</f>
        <v>6.25</v>
      </c>
      <c r="J444">
        <f>Table1[[#This Row],[Marketing_Spend]]/Table1[[#This Row],[Web_Traffic]]</f>
        <v>0.19591836734693877</v>
      </c>
      <c r="K444" t="str">
        <f>TEXT(Table1[[#This Row],[Date]],"mmm")</f>
        <v>Jan</v>
      </c>
    </row>
    <row r="445" spans="1:11" x14ac:dyDescent="0.35">
      <c r="A445" s="1">
        <v>45680</v>
      </c>
      <c r="B445" t="s">
        <v>7</v>
      </c>
      <c r="C445" t="s">
        <v>8</v>
      </c>
      <c r="D445">
        <v>3150</v>
      </c>
      <c r="E445">
        <v>150</v>
      </c>
      <c r="F445">
        <v>480</v>
      </c>
      <c r="G445">
        <v>2450</v>
      </c>
      <c r="H445">
        <f>Table1[[#This Row],[Gross_Revenue]]-Table1[[#This Row],[Refunds]]</f>
        <v>3000</v>
      </c>
      <c r="I445">
        <f>Table1[[#This Row],[Net_Revenue]]/Table1[[#This Row],[Marketing_Spend]]</f>
        <v>6.25</v>
      </c>
      <c r="J445">
        <f>Table1[[#This Row],[Marketing_Spend]]/Table1[[#This Row],[Web_Traffic]]</f>
        <v>0.19591836734693877</v>
      </c>
      <c r="K445" t="str">
        <f>TEXT(Table1[[#This Row],[Date]],"mmm")</f>
        <v>Jan</v>
      </c>
    </row>
    <row r="446" spans="1:11" x14ac:dyDescent="0.35">
      <c r="A446" s="1">
        <v>45687</v>
      </c>
      <c r="B446" t="s">
        <v>7</v>
      </c>
      <c r="C446" t="s">
        <v>8</v>
      </c>
      <c r="D446">
        <v>3150</v>
      </c>
      <c r="E446">
        <v>150</v>
      </c>
      <c r="F446">
        <v>480</v>
      </c>
      <c r="G446">
        <v>2450</v>
      </c>
      <c r="H446">
        <f>Table1[[#This Row],[Gross_Revenue]]-Table1[[#This Row],[Refunds]]</f>
        <v>3000</v>
      </c>
      <c r="I446">
        <f>Table1[[#This Row],[Net_Revenue]]/Table1[[#This Row],[Marketing_Spend]]</f>
        <v>6.25</v>
      </c>
      <c r="J446">
        <f>Table1[[#This Row],[Marketing_Spend]]/Table1[[#This Row],[Web_Traffic]]</f>
        <v>0.19591836734693877</v>
      </c>
      <c r="K446" t="str">
        <f>TEXT(Table1[[#This Row],[Date]],"mmm")</f>
        <v>Jan</v>
      </c>
    </row>
    <row r="447" spans="1:11" x14ac:dyDescent="0.35">
      <c r="A447" s="1">
        <v>45690</v>
      </c>
      <c r="B447" t="s">
        <v>9</v>
      </c>
      <c r="C447" t="s">
        <v>10</v>
      </c>
      <c r="D447">
        <v>3150</v>
      </c>
      <c r="E447">
        <v>157</v>
      </c>
      <c r="F447">
        <v>760</v>
      </c>
      <c r="G447">
        <v>3750</v>
      </c>
      <c r="H447">
        <f>Table1[[#This Row],[Gross_Revenue]]-Table1[[#This Row],[Refunds]]</f>
        <v>2993</v>
      </c>
      <c r="I447">
        <f>Table1[[#This Row],[Net_Revenue]]/Table1[[#This Row],[Marketing_Spend]]</f>
        <v>3.9381578947368423</v>
      </c>
      <c r="J447">
        <f>Table1[[#This Row],[Marketing_Spend]]/Table1[[#This Row],[Web_Traffic]]</f>
        <v>0.20266666666666666</v>
      </c>
      <c r="K447" t="str">
        <f>TEXT(Table1[[#This Row],[Date]],"mmm")</f>
        <v>Feb</v>
      </c>
    </row>
    <row r="448" spans="1:11" x14ac:dyDescent="0.35">
      <c r="A448" s="1">
        <v>45663</v>
      </c>
      <c r="B448" t="s">
        <v>7</v>
      </c>
      <c r="C448" t="s">
        <v>8</v>
      </c>
      <c r="D448">
        <v>3100</v>
      </c>
      <c r="E448">
        <v>155</v>
      </c>
      <c r="F448">
        <v>480</v>
      </c>
      <c r="G448">
        <v>2400</v>
      </c>
      <c r="H448">
        <f>Table1[[#This Row],[Gross_Revenue]]-Table1[[#This Row],[Refunds]]</f>
        <v>2945</v>
      </c>
      <c r="I448">
        <f>Table1[[#This Row],[Net_Revenue]]/Table1[[#This Row],[Marketing_Spend]]</f>
        <v>6.135416666666667</v>
      </c>
      <c r="J448">
        <f>Table1[[#This Row],[Marketing_Spend]]/Table1[[#This Row],[Web_Traffic]]</f>
        <v>0.2</v>
      </c>
      <c r="K448" t="str">
        <f>TEXT(Table1[[#This Row],[Date]],"mmm")</f>
        <v>Jan</v>
      </c>
    </row>
    <row r="449" spans="1:11" x14ac:dyDescent="0.35">
      <c r="A449" s="1">
        <v>45670</v>
      </c>
      <c r="B449" t="s">
        <v>7</v>
      </c>
      <c r="C449" t="s">
        <v>8</v>
      </c>
      <c r="D449">
        <v>3100</v>
      </c>
      <c r="E449">
        <v>155</v>
      </c>
      <c r="F449">
        <v>480</v>
      </c>
      <c r="G449">
        <v>2400</v>
      </c>
      <c r="H449">
        <f>Table1[[#This Row],[Gross_Revenue]]-Table1[[#This Row],[Refunds]]</f>
        <v>2945</v>
      </c>
      <c r="I449">
        <f>Table1[[#This Row],[Net_Revenue]]/Table1[[#This Row],[Marketing_Spend]]</f>
        <v>6.135416666666667</v>
      </c>
      <c r="J449">
        <f>Table1[[#This Row],[Marketing_Spend]]/Table1[[#This Row],[Web_Traffic]]</f>
        <v>0.2</v>
      </c>
      <c r="K449" t="str">
        <f>TEXT(Table1[[#This Row],[Date]],"mmm")</f>
        <v>Jan</v>
      </c>
    </row>
    <row r="450" spans="1:11" x14ac:dyDescent="0.35">
      <c r="A450" s="1">
        <v>45677</v>
      </c>
      <c r="B450" t="s">
        <v>7</v>
      </c>
      <c r="C450" t="s">
        <v>8</v>
      </c>
      <c r="D450">
        <v>3100</v>
      </c>
      <c r="E450">
        <v>155</v>
      </c>
      <c r="F450">
        <v>480</v>
      </c>
      <c r="G450">
        <v>2400</v>
      </c>
      <c r="H450">
        <f>Table1[[#This Row],[Gross_Revenue]]-Table1[[#This Row],[Refunds]]</f>
        <v>2945</v>
      </c>
      <c r="I450">
        <f>Table1[[#This Row],[Net_Revenue]]/Table1[[#This Row],[Marketing_Spend]]</f>
        <v>6.135416666666667</v>
      </c>
      <c r="J450">
        <f>Table1[[#This Row],[Marketing_Spend]]/Table1[[#This Row],[Web_Traffic]]</f>
        <v>0.2</v>
      </c>
      <c r="K450" t="str">
        <f>TEXT(Table1[[#This Row],[Date]],"mmm")</f>
        <v>Jan</v>
      </c>
    </row>
    <row r="451" spans="1:11" x14ac:dyDescent="0.35">
      <c r="A451" s="1">
        <v>45684</v>
      </c>
      <c r="B451" t="s">
        <v>7</v>
      </c>
      <c r="C451" t="s">
        <v>8</v>
      </c>
      <c r="D451">
        <v>3100</v>
      </c>
      <c r="E451">
        <v>155</v>
      </c>
      <c r="F451">
        <v>480</v>
      </c>
      <c r="G451">
        <v>2400</v>
      </c>
      <c r="H451">
        <f>Table1[[#This Row],[Gross_Revenue]]-Table1[[#This Row],[Refunds]]</f>
        <v>2945</v>
      </c>
      <c r="I451">
        <f>Table1[[#This Row],[Net_Revenue]]/Table1[[#This Row],[Marketing_Spend]]</f>
        <v>6.135416666666667</v>
      </c>
      <c r="J451">
        <f>Table1[[#This Row],[Marketing_Spend]]/Table1[[#This Row],[Web_Traffic]]</f>
        <v>0.2</v>
      </c>
      <c r="K451" t="str">
        <f>TEXT(Table1[[#This Row],[Date]],"mmm")</f>
        <v>Jan</v>
      </c>
    </row>
    <row r="452" spans="1:11" x14ac:dyDescent="0.35">
      <c r="A452" s="1">
        <v>45689</v>
      </c>
      <c r="B452" t="s">
        <v>9</v>
      </c>
      <c r="C452" t="s">
        <v>10</v>
      </c>
      <c r="D452">
        <v>3100</v>
      </c>
      <c r="E452">
        <v>155</v>
      </c>
      <c r="F452">
        <v>750</v>
      </c>
      <c r="G452">
        <v>3700</v>
      </c>
      <c r="H452">
        <f>Table1[[#This Row],[Gross_Revenue]]-Table1[[#This Row],[Refunds]]</f>
        <v>2945</v>
      </c>
      <c r="I452">
        <f>Table1[[#This Row],[Net_Revenue]]/Table1[[#This Row],[Marketing_Spend]]</f>
        <v>3.9266666666666667</v>
      </c>
      <c r="J452">
        <f>Table1[[#This Row],[Marketing_Spend]]/Table1[[#This Row],[Web_Traffic]]</f>
        <v>0.20270270270270271</v>
      </c>
      <c r="K452" t="str">
        <f>TEXT(Table1[[#This Row],[Date]],"mmm")</f>
        <v>Feb</v>
      </c>
    </row>
    <row r="453" spans="1:11" x14ac:dyDescent="0.35">
      <c r="A453" s="1">
        <v>45661</v>
      </c>
      <c r="B453" t="s">
        <v>9</v>
      </c>
      <c r="C453" t="s">
        <v>10</v>
      </c>
      <c r="D453">
        <v>3000</v>
      </c>
      <c r="E453">
        <v>150</v>
      </c>
      <c r="F453">
        <v>750</v>
      </c>
      <c r="G453">
        <v>3800</v>
      </c>
      <c r="H453">
        <f>Table1[[#This Row],[Gross_Revenue]]-Table1[[#This Row],[Refunds]]</f>
        <v>2850</v>
      </c>
      <c r="I453">
        <f>Table1[[#This Row],[Net_Revenue]]/Table1[[#This Row],[Marketing_Spend]]</f>
        <v>3.8</v>
      </c>
      <c r="J453">
        <f>Table1[[#This Row],[Marketing_Spend]]/Table1[[#This Row],[Web_Traffic]]</f>
        <v>0.19736842105263158</v>
      </c>
      <c r="K453" t="str">
        <f>TEXT(Table1[[#This Row],[Date]],"mmm")</f>
        <v>Jan</v>
      </c>
    </row>
    <row r="454" spans="1:11" x14ac:dyDescent="0.35">
      <c r="A454" s="1">
        <v>45662</v>
      </c>
      <c r="B454" t="s">
        <v>7</v>
      </c>
      <c r="C454" t="s">
        <v>8</v>
      </c>
      <c r="D454">
        <v>3000</v>
      </c>
      <c r="E454">
        <v>150</v>
      </c>
      <c r="F454">
        <v>450</v>
      </c>
      <c r="G454">
        <v>2300</v>
      </c>
      <c r="H454">
        <f>Table1[[#This Row],[Gross_Revenue]]-Table1[[#This Row],[Refunds]]</f>
        <v>2850</v>
      </c>
      <c r="I454">
        <f>Table1[[#This Row],[Net_Revenue]]/Table1[[#This Row],[Marketing_Spend]]</f>
        <v>6.333333333333333</v>
      </c>
      <c r="J454">
        <f>Table1[[#This Row],[Marketing_Spend]]/Table1[[#This Row],[Web_Traffic]]</f>
        <v>0.19565217391304349</v>
      </c>
      <c r="K454" t="str">
        <f>TEXT(Table1[[#This Row],[Date]],"mmm")</f>
        <v>Jan</v>
      </c>
    </row>
    <row r="455" spans="1:11" x14ac:dyDescent="0.35">
      <c r="A455" s="1">
        <v>45668</v>
      </c>
      <c r="B455" t="s">
        <v>9</v>
      </c>
      <c r="C455" t="s">
        <v>10</v>
      </c>
      <c r="D455">
        <v>3000</v>
      </c>
      <c r="E455">
        <v>150</v>
      </c>
      <c r="F455">
        <v>750</v>
      </c>
      <c r="G455">
        <v>3800</v>
      </c>
      <c r="H455">
        <f>Table1[[#This Row],[Gross_Revenue]]-Table1[[#This Row],[Refunds]]</f>
        <v>2850</v>
      </c>
      <c r="I455">
        <f>Table1[[#This Row],[Net_Revenue]]/Table1[[#This Row],[Marketing_Spend]]</f>
        <v>3.8</v>
      </c>
      <c r="J455">
        <f>Table1[[#This Row],[Marketing_Spend]]/Table1[[#This Row],[Web_Traffic]]</f>
        <v>0.19736842105263158</v>
      </c>
      <c r="K455" t="str">
        <f>TEXT(Table1[[#This Row],[Date]],"mmm")</f>
        <v>Jan</v>
      </c>
    </row>
    <row r="456" spans="1:11" x14ac:dyDescent="0.35">
      <c r="A456" s="1">
        <v>45669</v>
      </c>
      <c r="B456" t="s">
        <v>7</v>
      </c>
      <c r="C456" t="s">
        <v>8</v>
      </c>
      <c r="D456">
        <v>3000</v>
      </c>
      <c r="E456">
        <v>150</v>
      </c>
      <c r="F456">
        <v>450</v>
      </c>
      <c r="G456">
        <v>2300</v>
      </c>
      <c r="H456">
        <f>Table1[[#This Row],[Gross_Revenue]]-Table1[[#This Row],[Refunds]]</f>
        <v>2850</v>
      </c>
      <c r="I456">
        <f>Table1[[#This Row],[Net_Revenue]]/Table1[[#This Row],[Marketing_Spend]]</f>
        <v>6.333333333333333</v>
      </c>
      <c r="J456">
        <f>Table1[[#This Row],[Marketing_Spend]]/Table1[[#This Row],[Web_Traffic]]</f>
        <v>0.19565217391304349</v>
      </c>
      <c r="K456" t="str">
        <f>TEXT(Table1[[#This Row],[Date]],"mmm")</f>
        <v>Jan</v>
      </c>
    </row>
    <row r="457" spans="1:11" x14ac:dyDescent="0.35">
      <c r="A457" s="1">
        <v>45675</v>
      </c>
      <c r="B457" t="s">
        <v>9</v>
      </c>
      <c r="C457" t="s">
        <v>10</v>
      </c>
      <c r="D457">
        <v>3000</v>
      </c>
      <c r="E457">
        <v>150</v>
      </c>
      <c r="F457">
        <v>750</v>
      </c>
      <c r="G457">
        <v>3800</v>
      </c>
      <c r="H457">
        <f>Table1[[#This Row],[Gross_Revenue]]-Table1[[#This Row],[Refunds]]</f>
        <v>2850</v>
      </c>
      <c r="I457">
        <f>Table1[[#This Row],[Net_Revenue]]/Table1[[#This Row],[Marketing_Spend]]</f>
        <v>3.8</v>
      </c>
      <c r="J457">
        <f>Table1[[#This Row],[Marketing_Spend]]/Table1[[#This Row],[Web_Traffic]]</f>
        <v>0.19736842105263158</v>
      </c>
      <c r="K457" t="str">
        <f>TEXT(Table1[[#This Row],[Date]],"mmm")</f>
        <v>Jan</v>
      </c>
    </row>
    <row r="458" spans="1:11" x14ac:dyDescent="0.35">
      <c r="A458" s="1">
        <v>45676</v>
      </c>
      <c r="B458" t="s">
        <v>7</v>
      </c>
      <c r="C458" t="s">
        <v>8</v>
      </c>
      <c r="D458">
        <v>3000</v>
      </c>
      <c r="E458">
        <v>150</v>
      </c>
      <c r="F458">
        <v>450</v>
      </c>
      <c r="G458">
        <v>2300</v>
      </c>
      <c r="H458">
        <f>Table1[[#This Row],[Gross_Revenue]]-Table1[[#This Row],[Refunds]]</f>
        <v>2850</v>
      </c>
      <c r="I458">
        <f>Table1[[#This Row],[Net_Revenue]]/Table1[[#This Row],[Marketing_Spend]]</f>
        <v>6.333333333333333</v>
      </c>
      <c r="J458">
        <f>Table1[[#This Row],[Marketing_Spend]]/Table1[[#This Row],[Web_Traffic]]</f>
        <v>0.19565217391304349</v>
      </c>
      <c r="K458" t="str">
        <f>TEXT(Table1[[#This Row],[Date]],"mmm")</f>
        <v>Jan</v>
      </c>
    </row>
    <row r="459" spans="1:11" x14ac:dyDescent="0.35">
      <c r="A459" s="1">
        <v>45682</v>
      </c>
      <c r="B459" t="s">
        <v>9</v>
      </c>
      <c r="C459" t="s">
        <v>10</v>
      </c>
      <c r="D459">
        <v>3000</v>
      </c>
      <c r="E459">
        <v>150</v>
      </c>
      <c r="F459">
        <v>750</v>
      </c>
      <c r="G459">
        <v>3800</v>
      </c>
      <c r="H459">
        <f>Table1[[#This Row],[Gross_Revenue]]-Table1[[#This Row],[Refunds]]</f>
        <v>2850</v>
      </c>
      <c r="I459">
        <f>Table1[[#This Row],[Net_Revenue]]/Table1[[#This Row],[Marketing_Spend]]</f>
        <v>3.8</v>
      </c>
      <c r="J459">
        <f>Table1[[#This Row],[Marketing_Spend]]/Table1[[#This Row],[Web_Traffic]]</f>
        <v>0.19736842105263158</v>
      </c>
      <c r="K459" t="str">
        <f>TEXT(Table1[[#This Row],[Date]],"mmm")</f>
        <v>Jan</v>
      </c>
    </row>
    <row r="460" spans="1:11" x14ac:dyDescent="0.35">
      <c r="A460" s="1">
        <v>45683</v>
      </c>
      <c r="B460" t="s">
        <v>7</v>
      </c>
      <c r="C460" t="s">
        <v>8</v>
      </c>
      <c r="D460">
        <v>3000</v>
      </c>
      <c r="E460">
        <v>150</v>
      </c>
      <c r="F460">
        <v>450</v>
      </c>
      <c r="G460">
        <v>2300</v>
      </c>
      <c r="H460">
        <f>Table1[[#This Row],[Gross_Revenue]]-Table1[[#This Row],[Refunds]]</f>
        <v>2850</v>
      </c>
      <c r="I460">
        <f>Table1[[#This Row],[Net_Revenue]]/Table1[[#This Row],[Marketing_Spend]]</f>
        <v>6.333333333333333</v>
      </c>
      <c r="J460">
        <f>Table1[[#This Row],[Marketing_Spend]]/Table1[[#This Row],[Web_Traffic]]</f>
        <v>0.19565217391304349</v>
      </c>
      <c r="K460" t="str">
        <f>TEXT(Table1[[#This Row],[Date]],"mmm")</f>
        <v>Jan</v>
      </c>
    </row>
    <row r="461" spans="1:11" x14ac:dyDescent="0.35">
      <c r="A461" s="1">
        <v>45660</v>
      </c>
      <c r="B461" t="s">
        <v>9</v>
      </c>
      <c r="C461" t="s">
        <v>10</v>
      </c>
      <c r="D461">
        <v>2900</v>
      </c>
      <c r="E461">
        <v>145</v>
      </c>
      <c r="F461">
        <v>720</v>
      </c>
      <c r="G461">
        <v>3600</v>
      </c>
      <c r="H461">
        <f>Table1[[#This Row],[Gross_Revenue]]-Table1[[#This Row],[Refunds]]</f>
        <v>2755</v>
      </c>
      <c r="I461">
        <f>Table1[[#This Row],[Net_Revenue]]/Table1[[#This Row],[Marketing_Spend]]</f>
        <v>3.8263888888888888</v>
      </c>
      <c r="J461">
        <f>Table1[[#This Row],[Marketing_Spend]]/Table1[[#This Row],[Web_Traffic]]</f>
        <v>0.2</v>
      </c>
      <c r="K461" t="str">
        <f>TEXT(Table1[[#This Row],[Date]],"mmm")</f>
        <v>Jan</v>
      </c>
    </row>
    <row r="462" spans="1:11" x14ac:dyDescent="0.35">
      <c r="A462" s="1">
        <v>45667</v>
      </c>
      <c r="B462" t="s">
        <v>9</v>
      </c>
      <c r="C462" t="s">
        <v>10</v>
      </c>
      <c r="D462">
        <v>2900</v>
      </c>
      <c r="E462">
        <v>145</v>
      </c>
      <c r="F462">
        <v>720</v>
      </c>
      <c r="G462">
        <v>3600</v>
      </c>
      <c r="H462">
        <f>Table1[[#This Row],[Gross_Revenue]]-Table1[[#This Row],[Refunds]]</f>
        <v>2755</v>
      </c>
      <c r="I462">
        <f>Table1[[#This Row],[Net_Revenue]]/Table1[[#This Row],[Marketing_Spend]]</f>
        <v>3.8263888888888888</v>
      </c>
      <c r="J462">
        <f>Table1[[#This Row],[Marketing_Spend]]/Table1[[#This Row],[Web_Traffic]]</f>
        <v>0.2</v>
      </c>
      <c r="K462" t="str">
        <f>TEXT(Table1[[#This Row],[Date]],"mmm")</f>
        <v>Jan</v>
      </c>
    </row>
    <row r="463" spans="1:11" x14ac:dyDescent="0.35">
      <c r="A463" s="1">
        <v>45674</v>
      </c>
      <c r="B463" t="s">
        <v>9</v>
      </c>
      <c r="C463" t="s">
        <v>10</v>
      </c>
      <c r="D463">
        <v>2900</v>
      </c>
      <c r="E463">
        <v>145</v>
      </c>
      <c r="F463">
        <v>720</v>
      </c>
      <c r="G463">
        <v>3600</v>
      </c>
      <c r="H463">
        <f>Table1[[#This Row],[Gross_Revenue]]-Table1[[#This Row],[Refunds]]</f>
        <v>2755</v>
      </c>
      <c r="I463">
        <f>Table1[[#This Row],[Net_Revenue]]/Table1[[#This Row],[Marketing_Spend]]</f>
        <v>3.8263888888888888</v>
      </c>
      <c r="J463">
        <f>Table1[[#This Row],[Marketing_Spend]]/Table1[[#This Row],[Web_Traffic]]</f>
        <v>0.2</v>
      </c>
      <c r="K463" t="str">
        <f>TEXT(Table1[[#This Row],[Date]],"mmm")</f>
        <v>Jan</v>
      </c>
    </row>
    <row r="464" spans="1:11" x14ac:dyDescent="0.35">
      <c r="A464" s="1">
        <v>45681</v>
      </c>
      <c r="B464" t="s">
        <v>9</v>
      </c>
      <c r="C464" t="s">
        <v>10</v>
      </c>
      <c r="D464">
        <v>2900</v>
      </c>
      <c r="E464">
        <v>145</v>
      </c>
      <c r="F464">
        <v>720</v>
      </c>
      <c r="G464">
        <v>3600</v>
      </c>
      <c r="H464">
        <f>Table1[[#This Row],[Gross_Revenue]]-Table1[[#This Row],[Refunds]]</f>
        <v>2755</v>
      </c>
      <c r="I464">
        <f>Table1[[#This Row],[Net_Revenue]]/Table1[[#This Row],[Marketing_Spend]]</f>
        <v>3.8263888888888888</v>
      </c>
      <c r="J464">
        <f>Table1[[#This Row],[Marketing_Spend]]/Table1[[#This Row],[Web_Traffic]]</f>
        <v>0.2</v>
      </c>
      <c r="K464" t="str">
        <f>TEXT(Table1[[#This Row],[Date]],"mmm")</f>
        <v>Jan</v>
      </c>
    </row>
    <row r="465" spans="1:11" x14ac:dyDescent="0.35">
      <c r="A465" s="1">
        <v>45688</v>
      </c>
      <c r="B465" t="s">
        <v>9</v>
      </c>
      <c r="C465" t="s">
        <v>10</v>
      </c>
      <c r="D465">
        <v>2900</v>
      </c>
      <c r="E465">
        <v>145</v>
      </c>
      <c r="F465">
        <v>720</v>
      </c>
      <c r="G465">
        <v>3600</v>
      </c>
      <c r="H465">
        <f>Table1[[#This Row],[Gross_Revenue]]-Table1[[#This Row],[Refunds]]</f>
        <v>2755</v>
      </c>
      <c r="I465">
        <f>Table1[[#This Row],[Net_Revenue]]/Table1[[#This Row],[Marketing_Spend]]</f>
        <v>3.8263888888888888</v>
      </c>
      <c r="J465">
        <f>Table1[[#This Row],[Marketing_Spend]]/Table1[[#This Row],[Web_Traffic]]</f>
        <v>0.2</v>
      </c>
      <c r="K465" t="str">
        <f>TEXT(Table1[[#This Row],[Date]],"mmm")</f>
        <v>Jan</v>
      </c>
    </row>
    <row r="466" spans="1:11" x14ac:dyDescent="0.35">
      <c r="A466" s="1">
        <v>45664</v>
      </c>
      <c r="B466" t="s">
        <v>9</v>
      </c>
      <c r="C466" t="s">
        <v>10</v>
      </c>
      <c r="D466">
        <v>2850</v>
      </c>
      <c r="E466">
        <v>142</v>
      </c>
      <c r="F466">
        <v>700</v>
      </c>
      <c r="G466">
        <v>3550</v>
      </c>
      <c r="H466">
        <f>Table1[[#This Row],[Gross_Revenue]]-Table1[[#This Row],[Refunds]]</f>
        <v>2708</v>
      </c>
      <c r="I466">
        <f>Table1[[#This Row],[Net_Revenue]]/Table1[[#This Row],[Marketing_Spend]]</f>
        <v>3.8685714285714288</v>
      </c>
      <c r="J466">
        <f>Table1[[#This Row],[Marketing_Spend]]/Table1[[#This Row],[Web_Traffic]]</f>
        <v>0.19718309859154928</v>
      </c>
      <c r="K466" t="str">
        <f>TEXT(Table1[[#This Row],[Date]],"mmm")</f>
        <v>Jan</v>
      </c>
    </row>
    <row r="467" spans="1:11" x14ac:dyDescent="0.35">
      <c r="A467" s="1">
        <v>45671</v>
      </c>
      <c r="B467" t="s">
        <v>9</v>
      </c>
      <c r="C467" t="s">
        <v>10</v>
      </c>
      <c r="D467">
        <v>2850</v>
      </c>
      <c r="E467">
        <v>142</v>
      </c>
      <c r="F467">
        <v>700</v>
      </c>
      <c r="G467">
        <v>3550</v>
      </c>
      <c r="H467">
        <f>Table1[[#This Row],[Gross_Revenue]]-Table1[[#This Row],[Refunds]]</f>
        <v>2708</v>
      </c>
      <c r="I467">
        <f>Table1[[#This Row],[Net_Revenue]]/Table1[[#This Row],[Marketing_Spend]]</f>
        <v>3.8685714285714288</v>
      </c>
      <c r="J467">
        <f>Table1[[#This Row],[Marketing_Spend]]/Table1[[#This Row],[Web_Traffic]]</f>
        <v>0.19718309859154928</v>
      </c>
      <c r="K467" t="str">
        <f>TEXT(Table1[[#This Row],[Date]],"mmm")</f>
        <v>Jan</v>
      </c>
    </row>
    <row r="468" spans="1:11" x14ac:dyDescent="0.35">
      <c r="A468" s="1">
        <v>45678</v>
      </c>
      <c r="B468" t="s">
        <v>9</v>
      </c>
      <c r="C468" t="s">
        <v>10</v>
      </c>
      <c r="D468">
        <v>2850</v>
      </c>
      <c r="E468">
        <v>142</v>
      </c>
      <c r="F468">
        <v>700</v>
      </c>
      <c r="G468">
        <v>3550</v>
      </c>
      <c r="H468">
        <f>Table1[[#This Row],[Gross_Revenue]]-Table1[[#This Row],[Refunds]]</f>
        <v>2708</v>
      </c>
      <c r="I468">
        <f>Table1[[#This Row],[Net_Revenue]]/Table1[[#This Row],[Marketing_Spend]]</f>
        <v>3.8685714285714288</v>
      </c>
      <c r="J468">
        <f>Table1[[#This Row],[Marketing_Spend]]/Table1[[#This Row],[Web_Traffic]]</f>
        <v>0.19718309859154928</v>
      </c>
      <c r="K468" t="str">
        <f>TEXT(Table1[[#This Row],[Date]],"mmm")</f>
        <v>Jan</v>
      </c>
    </row>
    <row r="469" spans="1:11" x14ac:dyDescent="0.35">
      <c r="A469" s="1">
        <v>45685</v>
      </c>
      <c r="B469" t="s">
        <v>9</v>
      </c>
      <c r="C469" t="s">
        <v>10</v>
      </c>
      <c r="D469">
        <v>2850</v>
      </c>
      <c r="E469">
        <v>142</v>
      </c>
      <c r="F469">
        <v>700</v>
      </c>
      <c r="G469">
        <v>3550</v>
      </c>
      <c r="H469">
        <f>Table1[[#This Row],[Gross_Revenue]]-Table1[[#This Row],[Refunds]]</f>
        <v>2708</v>
      </c>
      <c r="I469">
        <f>Table1[[#This Row],[Net_Revenue]]/Table1[[#This Row],[Marketing_Spend]]</f>
        <v>3.8685714285714288</v>
      </c>
      <c r="J469">
        <f>Table1[[#This Row],[Marketing_Spend]]/Table1[[#This Row],[Web_Traffic]]</f>
        <v>0.19718309859154928</v>
      </c>
      <c r="K469" t="str">
        <f>TEXT(Table1[[#This Row],[Date]],"mmm")</f>
        <v>Jan</v>
      </c>
    </row>
    <row r="470" spans="1:11" x14ac:dyDescent="0.35">
      <c r="A470" s="1">
        <v>45658</v>
      </c>
      <c r="B470" t="s">
        <v>9</v>
      </c>
      <c r="C470" t="s">
        <v>10</v>
      </c>
      <c r="D470">
        <v>2800</v>
      </c>
      <c r="E470">
        <v>140</v>
      </c>
      <c r="F470">
        <v>700</v>
      </c>
      <c r="G470">
        <v>3500</v>
      </c>
      <c r="H470">
        <f>Table1[[#This Row],[Gross_Revenue]]-Table1[[#This Row],[Refunds]]</f>
        <v>2660</v>
      </c>
      <c r="I470">
        <f>Table1[[#This Row],[Net_Revenue]]/Table1[[#This Row],[Marketing_Spend]]</f>
        <v>3.8</v>
      </c>
      <c r="J470">
        <f>Table1[[#This Row],[Marketing_Spend]]/Table1[[#This Row],[Web_Traffic]]</f>
        <v>0.2</v>
      </c>
      <c r="K470" t="str">
        <f>TEXT(Table1[[#This Row],[Date]],"mmm")</f>
        <v>Jan</v>
      </c>
    </row>
    <row r="471" spans="1:11" x14ac:dyDescent="0.35">
      <c r="A471" s="1">
        <v>45665</v>
      </c>
      <c r="B471" t="s">
        <v>9</v>
      </c>
      <c r="C471" t="s">
        <v>10</v>
      </c>
      <c r="D471">
        <v>2800</v>
      </c>
      <c r="E471">
        <v>140</v>
      </c>
      <c r="F471">
        <v>700</v>
      </c>
      <c r="G471">
        <v>3500</v>
      </c>
      <c r="H471">
        <f>Table1[[#This Row],[Gross_Revenue]]-Table1[[#This Row],[Refunds]]</f>
        <v>2660</v>
      </c>
      <c r="I471">
        <f>Table1[[#This Row],[Net_Revenue]]/Table1[[#This Row],[Marketing_Spend]]</f>
        <v>3.8</v>
      </c>
      <c r="J471">
        <f>Table1[[#This Row],[Marketing_Spend]]/Table1[[#This Row],[Web_Traffic]]</f>
        <v>0.2</v>
      </c>
      <c r="K471" t="str">
        <f>TEXT(Table1[[#This Row],[Date]],"mmm")</f>
        <v>Jan</v>
      </c>
    </row>
    <row r="472" spans="1:11" x14ac:dyDescent="0.35">
      <c r="A472" s="1">
        <v>45672</v>
      </c>
      <c r="B472" t="s">
        <v>9</v>
      </c>
      <c r="C472" t="s">
        <v>10</v>
      </c>
      <c r="D472">
        <v>2800</v>
      </c>
      <c r="E472">
        <v>140</v>
      </c>
      <c r="F472">
        <v>700</v>
      </c>
      <c r="G472">
        <v>3500</v>
      </c>
      <c r="H472">
        <f>Table1[[#This Row],[Gross_Revenue]]-Table1[[#This Row],[Refunds]]</f>
        <v>2660</v>
      </c>
      <c r="I472">
        <f>Table1[[#This Row],[Net_Revenue]]/Table1[[#This Row],[Marketing_Spend]]</f>
        <v>3.8</v>
      </c>
      <c r="J472">
        <f>Table1[[#This Row],[Marketing_Spend]]/Table1[[#This Row],[Web_Traffic]]</f>
        <v>0.2</v>
      </c>
      <c r="K472" t="str">
        <f>TEXT(Table1[[#This Row],[Date]],"mmm")</f>
        <v>Jan</v>
      </c>
    </row>
    <row r="473" spans="1:11" x14ac:dyDescent="0.35">
      <c r="A473" s="1">
        <v>45679</v>
      </c>
      <c r="B473" t="s">
        <v>9</v>
      </c>
      <c r="C473" t="s">
        <v>10</v>
      </c>
      <c r="D473">
        <v>2800</v>
      </c>
      <c r="E473">
        <v>140</v>
      </c>
      <c r="F473">
        <v>700</v>
      </c>
      <c r="G473">
        <v>3500</v>
      </c>
      <c r="H473">
        <f>Table1[[#This Row],[Gross_Revenue]]-Table1[[#This Row],[Refunds]]</f>
        <v>2660</v>
      </c>
      <c r="I473">
        <f>Table1[[#This Row],[Net_Revenue]]/Table1[[#This Row],[Marketing_Spend]]</f>
        <v>3.8</v>
      </c>
      <c r="J473">
        <f>Table1[[#This Row],[Marketing_Spend]]/Table1[[#This Row],[Web_Traffic]]</f>
        <v>0.2</v>
      </c>
      <c r="K473" t="str">
        <f>TEXT(Table1[[#This Row],[Date]],"mmm")</f>
        <v>Jan</v>
      </c>
    </row>
    <row r="474" spans="1:11" x14ac:dyDescent="0.35">
      <c r="A474" s="1">
        <v>45686</v>
      </c>
      <c r="B474" t="s">
        <v>9</v>
      </c>
      <c r="C474" t="s">
        <v>10</v>
      </c>
      <c r="D474">
        <v>2800</v>
      </c>
      <c r="E474">
        <v>140</v>
      </c>
      <c r="F474">
        <v>700</v>
      </c>
      <c r="G474">
        <v>3500</v>
      </c>
      <c r="H474">
        <f>Table1[[#This Row],[Gross_Revenue]]-Table1[[#This Row],[Refunds]]</f>
        <v>2660</v>
      </c>
      <c r="I474">
        <f>Table1[[#This Row],[Net_Revenue]]/Table1[[#This Row],[Marketing_Spend]]</f>
        <v>3.8</v>
      </c>
      <c r="J474">
        <f>Table1[[#This Row],[Marketing_Spend]]/Table1[[#This Row],[Web_Traffic]]</f>
        <v>0.2</v>
      </c>
      <c r="K474" t="str">
        <f>TEXT(Table1[[#This Row],[Date]],"mmm")</f>
        <v>Jan</v>
      </c>
    </row>
    <row r="475" spans="1:11" x14ac:dyDescent="0.35">
      <c r="A475" s="1">
        <v>45659</v>
      </c>
      <c r="B475" t="s">
        <v>9</v>
      </c>
      <c r="C475" t="s">
        <v>10</v>
      </c>
      <c r="D475">
        <v>2750</v>
      </c>
      <c r="E475">
        <v>130</v>
      </c>
      <c r="F475">
        <v>680</v>
      </c>
      <c r="G475">
        <v>3400</v>
      </c>
      <c r="H475">
        <f>Table1[[#This Row],[Gross_Revenue]]-Table1[[#This Row],[Refunds]]</f>
        <v>2620</v>
      </c>
      <c r="I475">
        <f>Table1[[#This Row],[Net_Revenue]]/Table1[[#This Row],[Marketing_Spend]]</f>
        <v>3.8529411764705883</v>
      </c>
      <c r="J475">
        <f>Table1[[#This Row],[Marketing_Spend]]/Table1[[#This Row],[Web_Traffic]]</f>
        <v>0.2</v>
      </c>
      <c r="K475" t="str">
        <f>TEXT(Table1[[#This Row],[Date]],"mmm")</f>
        <v>Jan</v>
      </c>
    </row>
    <row r="476" spans="1:11" x14ac:dyDescent="0.35">
      <c r="A476" s="1">
        <v>45666</v>
      </c>
      <c r="B476" t="s">
        <v>9</v>
      </c>
      <c r="C476" t="s">
        <v>10</v>
      </c>
      <c r="D476">
        <v>2750</v>
      </c>
      <c r="E476">
        <v>130</v>
      </c>
      <c r="F476">
        <v>680</v>
      </c>
      <c r="G476">
        <v>3400</v>
      </c>
      <c r="H476">
        <f>Table1[[#This Row],[Gross_Revenue]]-Table1[[#This Row],[Refunds]]</f>
        <v>2620</v>
      </c>
      <c r="I476">
        <f>Table1[[#This Row],[Net_Revenue]]/Table1[[#This Row],[Marketing_Spend]]</f>
        <v>3.8529411764705883</v>
      </c>
      <c r="J476">
        <f>Table1[[#This Row],[Marketing_Spend]]/Table1[[#This Row],[Web_Traffic]]</f>
        <v>0.2</v>
      </c>
      <c r="K476" t="str">
        <f>TEXT(Table1[[#This Row],[Date]],"mmm")</f>
        <v>Jan</v>
      </c>
    </row>
    <row r="477" spans="1:11" x14ac:dyDescent="0.35">
      <c r="A477" s="1">
        <v>45673</v>
      </c>
      <c r="B477" t="s">
        <v>9</v>
      </c>
      <c r="C477" t="s">
        <v>10</v>
      </c>
      <c r="D477">
        <v>2750</v>
      </c>
      <c r="E477">
        <v>130</v>
      </c>
      <c r="F477">
        <v>680</v>
      </c>
      <c r="G477">
        <v>3400</v>
      </c>
      <c r="H477">
        <f>Table1[[#This Row],[Gross_Revenue]]-Table1[[#This Row],[Refunds]]</f>
        <v>2620</v>
      </c>
      <c r="I477">
        <f>Table1[[#This Row],[Net_Revenue]]/Table1[[#This Row],[Marketing_Spend]]</f>
        <v>3.8529411764705883</v>
      </c>
      <c r="J477">
        <f>Table1[[#This Row],[Marketing_Spend]]/Table1[[#This Row],[Web_Traffic]]</f>
        <v>0.2</v>
      </c>
      <c r="K477" t="str">
        <f>TEXT(Table1[[#This Row],[Date]],"mmm")</f>
        <v>Jan</v>
      </c>
    </row>
    <row r="478" spans="1:11" x14ac:dyDescent="0.35">
      <c r="A478" s="1">
        <v>45680</v>
      </c>
      <c r="B478" t="s">
        <v>9</v>
      </c>
      <c r="C478" t="s">
        <v>10</v>
      </c>
      <c r="D478">
        <v>2750</v>
      </c>
      <c r="E478">
        <v>130</v>
      </c>
      <c r="F478">
        <v>680</v>
      </c>
      <c r="G478">
        <v>3400</v>
      </c>
      <c r="H478">
        <f>Table1[[#This Row],[Gross_Revenue]]-Table1[[#This Row],[Refunds]]</f>
        <v>2620</v>
      </c>
      <c r="I478">
        <f>Table1[[#This Row],[Net_Revenue]]/Table1[[#This Row],[Marketing_Spend]]</f>
        <v>3.8529411764705883</v>
      </c>
      <c r="J478">
        <f>Table1[[#This Row],[Marketing_Spend]]/Table1[[#This Row],[Web_Traffic]]</f>
        <v>0.2</v>
      </c>
      <c r="K478" t="str">
        <f>TEXT(Table1[[#This Row],[Date]],"mmm")</f>
        <v>Jan</v>
      </c>
    </row>
    <row r="479" spans="1:11" x14ac:dyDescent="0.35">
      <c r="A479" s="1">
        <v>45687</v>
      </c>
      <c r="B479" t="s">
        <v>9</v>
      </c>
      <c r="C479" t="s">
        <v>10</v>
      </c>
      <c r="D479">
        <v>2750</v>
      </c>
      <c r="E479">
        <v>130</v>
      </c>
      <c r="F479">
        <v>680</v>
      </c>
      <c r="G479">
        <v>3400</v>
      </c>
      <c r="H479">
        <f>Table1[[#This Row],[Gross_Revenue]]-Table1[[#This Row],[Refunds]]</f>
        <v>2620</v>
      </c>
      <c r="I479">
        <f>Table1[[#This Row],[Net_Revenue]]/Table1[[#This Row],[Marketing_Spend]]</f>
        <v>3.8529411764705883</v>
      </c>
      <c r="J479">
        <f>Table1[[#This Row],[Marketing_Spend]]/Table1[[#This Row],[Web_Traffic]]</f>
        <v>0.2</v>
      </c>
      <c r="K479" t="str">
        <f>TEXT(Table1[[#This Row],[Date]],"mmm")</f>
        <v>Jan</v>
      </c>
    </row>
    <row r="480" spans="1:11" x14ac:dyDescent="0.35">
      <c r="A480" s="1">
        <v>45663</v>
      </c>
      <c r="B480" t="s">
        <v>9</v>
      </c>
      <c r="C480" t="s">
        <v>10</v>
      </c>
      <c r="D480">
        <v>2700</v>
      </c>
      <c r="E480">
        <v>135</v>
      </c>
      <c r="F480">
        <v>680</v>
      </c>
      <c r="G480">
        <v>3400</v>
      </c>
      <c r="H480">
        <f>Table1[[#This Row],[Gross_Revenue]]-Table1[[#This Row],[Refunds]]</f>
        <v>2565</v>
      </c>
      <c r="I480">
        <f>Table1[[#This Row],[Net_Revenue]]/Table1[[#This Row],[Marketing_Spend]]</f>
        <v>3.7720588235294117</v>
      </c>
      <c r="J480">
        <f>Table1[[#This Row],[Marketing_Spend]]/Table1[[#This Row],[Web_Traffic]]</f>
        <v>0.2</v>
      </c>
      <c r="K480" t="str">
        <f>TEXT(Table1[[#This Row],[Date]],"mmm")</f>
        <v>Jan</v>
      </c>
    </row>
    <row r="481" spans="1:11" x14ac:dyDescent="0.35">
      <c r="A481" s="1">
        <v>45670</v>
      </c>
      <c r="B481" t="s">
        <v>9</v>
      </c>
      <c r="C481" t="s">
        <v>10</v>
      </c>
      <c r="D481">
        <v>2700</v>
      </c>
      <c r="E481">
        <v>135</v>
      </c>
      <c r="F481">
        <v>680</v>
      </c>
      <c r="G481">
        <v>3400</v>
      </c>
      <c r="H481">
        <f>Table1[[#This Row],[Gross_Revenue]]-Table1[[#This Row],[Refunds]]</f>
        <v>2565</v>
      </c>
      <c r="I481">
        <f>Table1[[#This Row],[Net_Revenue]]/Table1[[#This Row],[Marketing_Spend]]</f>
        <v>3.7720588235294117</v>
      </c>
      <c r="J481">
        <f>Table1[[#This Row],[Marketing_Spend]]/Table1[[#This Row],[Web_Traffic]]</f>
        <v>0.2</v>
      </c>
      <c r="K481" t="str">
        <f>TEXT(Table1[[#This Row],[Date]],"mmm")</f>
        <v>Jan</v>
      </c>
    </row>
    <row r="482" spans="1:11" x14ac:dyDescent="0.35">
      <c r="A482" s="1">
        <v>45677</v>
      </c>
      <c r="B482" t="s">
        <v>9</v>
      </c>
      <c r="C482" t="s">
        <v>10</v>
      </c>
      <c r="D482">
        <v>2700</v>
      </c>
      <c r="E482">
        <v>135</v>
      </c>
      <c r="F482">
        <v>680</v>
      </c>
      <c r="G482">
        <v>3400</v>
      </c>
      <c r="H482">
        <f>Table1[[#This Row],[Gross_Revenue]]-Table1[[#This Row],[Refunds]]</f>
        <v>2565</v>
      </c>
      <c r="I482">
        <f>Table1[[#This Row],[Net_Revenue]]/Table1[[#This Row],[Marketing_Spend]]</f>
        <v>3.7720588235294117</v>
      </c>
      <c r="J482">
        <f>Table1[[#This Row],[Marketing_Spend]]/Table1[[#This Row],[Web_Traffic]]</f>
        <v>0.2</v>
      </c>
      <c r="K482" t="str">
        <f>TEXT(Table1[[#This Row],[Date]],"mmm")</f>
        <v>Jan</v>
      </c>
    </row>
    <row r="483" spans="1:11" x14ac:dyDescent="0.35">
      <c r="A483" s="1">
        <v>45684</v>
      </c>
      <c r="B483" t="s">
        <v>9</v>
      </c>
      <c r="C483" t="s">
        <v>10</v>
      </c>
      <c r="D483">
        <v>2700</v>
      </c>
      <c r="E483">
        <v>135</v>
      </c>
      <c r="F483">
        <v>680</v>
      </c>
      <c r="G483">
        <v>3400</v>
      </c>
      <c r="H483">
        <f>Table1[[#This Row],[Gross_Revenue]]-Table1[[#This Row],[Refunds]]</f>
        <v>2565</v>
      </c>
      <c r="I483">
        <f>Table1[[#This Row],[Net_Revenue]]/Table1[[#This Row],[Marketing_Spend]]</f>
        <v>3.7720588235294117</v>
      </c>
      <c r="J483">
        <f>Table1[[#This Row],[Marketing_Spend]]/Table1[[#This Row],[Web_Traffic]]</f>
        <v>0.2</v>
      </c>
      <c r="K483" t="str">
        <f>TEXT(Table1[[#This Row],[Date]],"mmm")</f>
        <v>Jan</v>
      </c>
    </row>
    <row r="484" spans="1:11" x14ac:dyDescent="0.35">
      <c r="A484" s="1">
        <v>45662</v>
      </c>
      <c r="B484" t="s">
        <v>9</v>
      </c>
      <c r="C484" t="s">
        <v>10</v>
      </c>
      <c r="D484">
        <v>2600</v>
      </c>
      <c r="E484">
        <v>130</v>
      </c>
      <c r="F484">
        <v>650</v>
      </c>
      <c r="G484">
        <v>3200</v>
      </c>
      <c r="H484">
        <f>Table1[[#This Row],[Gross_Revenue]]-Table1[[#This Row],[Refunds]]</f>
        <v>2470</v>
      </c>
      <c r="I484">
        <f>Table1[[#This Row],[Net_Revenue]]/Table1[[#This Row],[Marketing_Spend]]</f>
        <v>3.8</v>
      </c>
      <c r="J484">
        <f>Table1[[#This Row],[Marketing_Spend]]/Table1[[#This Row],[Web_Traffic]]</f>
        <v>0.203125</v>
      </c>
      <c r="K484" t="str">
        <f>TEXT(Table1[[#This Row],[Date]],"mmm")</f>
        <v>Jan</v>
      </c>
    </row>
    <row r="485" spans="1:11" x14ac:dyDescent="0.35">
      <c r="A485" s="1">
        <v>45669</v>
      </c>
      <c r="B485" t="s">
        <v>9</v>
      </c>
      <c r="C485" t="s">
        <v>10</v>
      </c>
      <c r="D485">
        <v>2600</v>
      </c>
      <c r="E485">
        <v>130</v>
      </c>
      <c r="F485">
        <v>650</v>
      </c>
      <c r="G485">
        <v>3200</v>
      </c>
      <c r="H485">
        <f>Table1[[#This Row],[Gross_Revenue]]-Table1[[#This Row],[Refunds]]</f>
        <v>2470</v>
      </c>
      <c r="I485">
        <f>Table1[[#This Row],[Net_Revenue]]/Table1[[#This Row],[Marketing_Spend]]</f>
        <v>3.8</v>
      </c>
      <c r="J485">
        <f>Table1[[#This Row],[Marketing_Spend]]/Table1[[#This Row],[Web_Traffic]]</f>
        <v>0.203125</v>
      </c>
      <c r="K485" t="str">
        <f>TEXT(Table1[[#This Row],[Date]],"mmm")</f>
        <v>Jan</v>
      </c>
    </row>
    <row r="486" spans="1:11" x14ac:dyDescent="0.35">
      <c r="A486" s="1">
        <v>45676</v>
      </c>
      <c r="B486" t="s">
        <v>9</v>
      </c>
      <c r="C486" t="s">
        <v>10</v>
      </c>
      <c r="D486">
        <v>2600</v>
      </c>
      <c r="E486">
        <v>130</v>
      </c>
      <c r="F486">
        <v>650</v>
      </c>
      <c r="G486">
        <v>3200</v>
      </c>
      <c r="H486">
        <f>Table1[[#This Row],[Gross_Revenue]]-Table1[[#This Row],[Refunds]]</f>
        <v>2470</v>
      </c>
      <c r="I486">
        <f>Table1[[#This Row],[Net_Revenue]]/Table1[[#This Row],[Marketing_Spend]]</f>
        <v>3.8</v>
      </c>
      <c r="J486">
        <f>Table1[[#This Row],[Marketing_Spend]]/Table1[[#This Row],[Web_Traffic]]</f>
        <v>0.203125</v>
      </c>
      <c r="K486" t="str">
        <f>TEXT(Table1[[#This Row],[Date]],"mmm")</f>
        <v>Jan</v>
      </c>
    </row>
    <row r="487" spans="1:11" x14ac:dyDescent="0.35">
      <c r="A487" s="1">
        <v>45683</v>
      </c>
      <c r="B487" t="s">
        <v>9</v>
      </c>
      <c r="C487" t="s">
        <v>10</v>
      </c>
      <c r="D487">
        <v>2600</v>
      </c>
      <c r="E487">
        <v>130</v>
      </c>
      <c r="F487">
        <v>650</v>
      </c>
      <c r="G487">
        <v>3200</v>
      </c>
      <c r="H487">
        <f>Table1[[#This Row],[Gross_Revenue]]-Table1[[#This Row],[Refunds]]</f>
        <v>2470</v>
      </c>
      <c r="I487">
        <f>Table1[[#This Row],[Net_Revenue]]/Table1[[#This Row],[Marketing_Spend]]</f>
        <v>3.8</v>
      </c>
      <c r="J487">
        <f>Table1[[#This Row],[Marketing_Spend]]/Table1[[#This Row],[Web_Traffic]]</f>
        <v>0.203125</v>
      </c>
      <c r="K487" t="str">
        <f>TEXT(Table1[[#This Row],[Date]],"mmm")</f>
        <v>Jan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Pivot_Analysis</vt:lpstr>
      <vt:lpstr>Executive_Dashboard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Yeshwanth</dc:creator>
  <cp:lastModifiedBy>Yeshwanth</cp:lastModifiedBy>
  <dcterms:created xsi:type="dcterms:W3CDTF">2026-03-06T14:19:35Z</dcterms:created>
  <dcterms:modified xsi:type="dcterms:W3CDTF">2026-03-07T06:23:14Z</dcterms:modified>
</cp:coreProperties>
</file>